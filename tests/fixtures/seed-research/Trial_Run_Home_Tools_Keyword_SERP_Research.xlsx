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28fd366b244ef1" /></Relationships>
</file>

<file path=xl/workbook.xml><?xml version="1.0" encoding="utf-8"?>
<x:workbook xmlns:x="http://schemas.openxmlformats.org/spreadsheetml/2006/main">
  <x:sheets>
    <x:sheet xmlns:r="http://schemas.openxmlformats.org/officeDocument/2006/relationships" name="Dashboard" sheetId="1" r:id="R294c27ef48c5431e"/>
    <x:sheet xmlns:r="http://schemas.openxmlformats.org/officeDocument/2006/relationships" name="Researched Opportunities" sheetId="2" r:id="R6d6e9ebd44994b3a"/>
    <x:sheet xmlns:r="http://schemas.openxmlformats.org/officeDocument/2006/relationships" name="Validation Queue" sheetId="3" r:id="Rbec613c9b62541af"/>
    <x:sheet xmlns:r="http://schemas.openxmlformats.org/officeDocument/2006/relationships" name="Low-KD Hunt Queue" sheetId="4" r:id="R669277d5079a4f97"/>
    <x:sheet xmlns:r="http://schemas.openxmlformats.org/officeDocument/2006/relationships" name="How To Verify" sheetId="5" r:id="Rf7bed966d7cf4323"/>
    <x:sheet xmlns:r="http://schemas.openxmlformats.org/officeDocument/2006/relationships" name="Trial Summary" sheetId="6" r:id="Rb3f35adf4d40421c"/>
    <x:sheet xmlns:r="http://schemas.openxmlformats.org/officeDocument/2006/relationships" name="Trial - Calculators" sheetId="7" r:id="Ree7b557b93884ed3"/>
    <x:sheet xmlns:r="http://schemas.openxmlformats.org/officeDocument/2006/relationships" name="Trial - Problem Intent" sheetId="8" r:id="Rcf2fc3f408f8461c"/>
    <x:sheet xmlns:r="http://schemas.openxmlformats.org/officeDocument/2006/relationships" name="Trial - Ahrefs Queue" sheetId="9" r:id="Rd3eb7f8f03274d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
    <x:numFmt numFmtId="203" formatCode="yyyy-mm-dd"/>
  </x:numFmts>
  <x:fonts count="15">
    <x:font>
      <x:sz val="11"/>
      <x:name val="Carlito"/>
    </x:font>
    <x:font>
      <x:b/>
      <x:sz val="18"/>
      <x:color rgb="FFFFFFFF"/>
      <x:name val="Carlito"/>
    </x:font>
    <x:font>
      <x:i/>
      <x:sz val="10"/>
      <x:color rgb="FF1F6D73"/>
      <x:name val="Carlito"/>
    </x:font>
    <x:font>
      <x:b/>
      <x:sz val="11"/>
      <x:color rgb="FF1F6D73"/>
      <x:name val="Carlito"/>
    </x:font>
    <x:font>
      <x:b/>
      <x:sz val="11"/>
      <x:color rgb="FF7A4A10"/>
      <x:name val="Carlito"/>
    </x:font>
    <x:font>
      <x:b/>
      <x:sz val="11"/>
      <x:color rgb="FFFFFFFF"/>
      <x:name val="Carlito"/>
    </x:font>
    <x:font>
      <x:b/>
      <x:sz val="12"/>
      <x:color rgb="FFFFFFFF"/>
      <x:name val="Carlito"/>
    </x:font>
    <x:font>
      <x:b/>
      <x:sz val="9"/>
      <x:color rgb="FFFFFFFF"/>
      <x:name val="Carlito"/>
    </x:font>
    <x:font>
      <x:b/>
      <x:sz val="15"/>
      <x:color rgb="FFFFFFFF"/>
      <x:name val="Carlito"/>
    </x:font>
    <x:font>
      <x:b/>
      <x:sz val="11"/>
      <x:color rgb="FFA43E3E"/>
      <x:name val="Carlito"/>
    </x:font>
    <x:font>
      <x:b/>
      <x:sz val="16"/>
      <x:color rgb="FFFFFFFF"/>
      <x:name val="Carlito"/>
    </x:font>
    <x:font>
      <x:i/>
      <x:sz val="10"/>
      <x:color rgb="FF16323F"/>
      <x:name val="Carlito"/>
    </x:font>
    <x:font>
      <x:b/>
      <x:sz val="10"/>
      <x:color rgb="FFFFFFFF"/>
      <x:name val="Carlito"/>
    </x:font>
    <x:font>
      <x:sz val="9"/>
      <x:color rgb="FF16323F"/>
      <x:name val="Carlito"/>
    </x:font>
    <x:font>
      <x:sz val="10"/>
      <x:color rgb="FF16323F"/>
      <x:name val="Carlito"/>
    </x:font>
  </x:fonts>
  <x:fills count="19">
    <x:fill>
      <x:patternFill patternType="none"/>
    </x:fill>
    <x:fill>
      <x:patternFill patternType="gray125"/>
    </x:fill>
    <x:fill>
      <x:patternFill patternType="solid">
        <x:fgColor rgb="FF17365D"/>
      </x:patternFill>
    </x:fill>
    <x:fill>
      <x:patternFill patternType="solid">
        <x:fgColor rgb="FFE9F4F4"/>
      </x:patternFill>
    </x:fill>
    <x:fill>
      <x:patternFill patternType="solid">
        <x:fgColor rgb="FFFBF1E5"/>
      </x:patternFill>
    </x:fill>
    <x:fill>
      <x:patternFill patternType="solid">
        <x:fgColor rgb="FFFFF9EF"/>
      </x:patternFill>
    </x:fill>
    <x:fill>
      <x:patternFill patternType="solid">
        <x:fgColor rgb="FF1F6D73"/>
      </x:patternFill>
    </x:fill>
    <x:fill>
      <x:patternFill patternType="solid">
        <x:fgColor rgb="FFF4F6F8"/>
      </x:patternFill>
    </x:fill>
    <x:fill>
      <x:patternFill patternType="solid">
        <x:fgColor rgb="FFFFFFFF"/>
      </x:patternFill>
    </x:fill>
    <x:fill>
      <x:patternFill patternType="solid">
        <x:fgColor rgb="FFFCE8E6"/>
      </x:patternFill>
    </x:fill>
    <x:fill>
      <x:patternFill patternType="solid">
        <x:fgColor rgb="FFFFF5F5"/>
      </x:patternFill>
    </x:fill>
    <x:fill>
      <x:patternFill patternType="solid">
        <x:fgColor rgb="FF0F3B52"/>
      </x:patternFill>
    </x:fill>
    <x:fill>
      <x:patternFill patternType="solid">
        <x:fgColor rgb="FFEAF4F8"/>
      </x:patternFill>
    </x:fill>
    <x:fill>
      <x:patternFill patternType="solid">
        <x:fgColor rgb="FF195A76"/>
      </x:patternFill>
    </x:fill>
    <x:fill>
      <x:patternFill patternType="solid">
        <x:fgColor rgb="FFD9EEF7"/>
      </x:patternFill>
    </x:fill>
    <x:fill>
      <x:patternFill patternType="solid">
        <x:fgColor rgb="FFFFFFFF"/>
      </x:patternFill>
    </x:fill>
    <x:fill>
      <x:patternFill patternType="solid">
        <x:fgColor rgb="FFFFF4CC"/>
      </x:patternFill>
    </x:fill>
    <x:fill>
      <x:patternFill patternType="solid">
        <x:fgColor rgb="FFF7FBFD"/>
      </x:patternFill>
    </x:fill>
    <x:fill>
      <x:patternFill patternType="solid">
        <x:fgColor rgb="FFE2F0D9"/>
      </x:patternFill>
    </x:fill>
  </x:fills>
  <x:borders count="2">
    <x:border/>
    <x:border/>
  </x:borders>
  <x:cellStyleXfs count="1">
    <x:xf numFmtId="0" fontId="0" fillId="0" borderId="0"/>
  </x:cellStyleXfs>
  <x:cellXfs count="1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1" xfId="0" applyNumberFormat="1" applyFont="1" applyFill="1" applyBorder="1"/>
    <x:xf numFmtId="0" fontId="7"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8" fillId="2" borderId="0" xfId="0" applyNumberFormat="1" applyFont="1" applyFill="1" applyBorder="1"/>
    <x:xf numFmtId="0" fontId="8" fillId="2"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0" fillId="9" borderId="0" xfId="0" applyNumberFormat="1" applyFont="1" applyFill="1" applyBorder="1"/>
    <x:xf numFmtId="0" fontId="9" fillId="9" borderId="0" xfId="0" applyNumberFormat="1" applyFont="1" applyFill="1" applyBorder="1"/>
    <x:xf numFmtId="0" fontId="0" fillId="9" borderId="1" xfId="0" applyNumberFormat="1" applyFont="1" applyFill="1" applyBorder="1"/>
    <x:xf numFmtId="0" fontId="9" fillId="9" borderId="1" xfId="0" applyNumberFormat="1" applyFont="1" applyFill="1" applyBorder="1"/>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 xfId="0" applyNumberFormat="1" applyFont="1" applyFill="1" applyBorder="1"/>
    <x:xf numFmtId="0" fontId="0" fillId="10" borderId="1" xfId="0" applyNumberFormat="1" applyFont="1" applyFill="1" applyBorder="1" applyAlignment="1">
      <x:alignment wrapText="1"/>
    </x:xf>
    <x:xf numFmtId="0" fontId="0" fillId="10" borderId="1"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0" borderId="0" xfId="0" applyNumberFormat="1" applyFont="1" applyFill="1" applyBorder="1"/>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horizontal="left"/>
    </x:xf>
    <x:xf numFmtId="0" fontId="10" fillId="11" borderId="0" xfId="0" applyNumberFormat="1" applyFont="1" applyFill="1" applyBorder="1" applyAlignment="1">
      <x:alignment horizontal="lef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1" fillId="12" borderId="0" xfId="0" applyNumberFormat="1" applyFont="1" applyFill="1" applyBorder="1" applyAlignment="1">
      <x:alignment vertical="center" wrapText="1"/>
    </x:xf>
    <x:xf numFmtId="0" fontId="0" fillId="13" borderId="0" xfId="0" applyNumberFormat="1" applyFont="1" applyFill="1" applyBorder="1"/>
    <x:xf numFmtId="0" fontId="12" fillId="13" borderId="0" xfId="0" applyNumberFormat="1" applyFont="1" applyFill="1" applyBorder="1"/>
    <x:xf numFmtId="0" fontId="12" fillId="13" xfId="0" applyNumberFormat="1" applyFont="1" applyFill="1" applyBorder="0"/>
    <x:xf numFmtId="0" fontId="12" fillId="13" xfId="0" applyNumberFormat="1" applyFont="1" applyFill="1" applyBorder="0" applyAlignment="1">
      <x:alignment wrapText="1"/>
    </x:xf>
    <x:xf numFmtId="0" fontId="12" fillId="13" xfId="0" applyNumberFormat="1" applyFont="1" applyFill="1" applyBorder="0" applyAlignment="1">
      <x:alignment horizontal="center" wrapText="1"/>
    </x:xf>
    <x:xf numFmtId="0" fontId="12" fillId="13" xfId="0" applyNumberFormat="1" applyFont="1" applyFill="1" applyBorder="0" applyAlignment="1">
      <x:alignment horizontal="center" vertical="center" wrapText="1"/>
    </x:xf>
    <x:xf numFmtId="0" fontId="0" fillId="14" borderId="0" xfId="0" applyNumberFormat="1" applyFont="1" applyFill="1" applyBorder="1"/>
    <x:xf numFmtId="0" fontId="13" fillId="14" borderId="0" xfId="0" applyNumberFormat="1" applyFont="1" applyFill="1" applyBorder="1"/>
    <x:xf numFmtId="0" fontId="13" fillId="14" xfId="0" applyNumberFormat="1" applyFont="1" applyFill="1" applyBorder="0"/>
    <x:xf numFmtId="0" fontId="13" fillId="14" xfId="0" applyNumberFormat="1" applyFont="1" applyFill="1" applyBorder="0" applyAlignment="1">
      <x:alignment wrapText="1"/>
    </x:xf>
    <x:xf numFmtId="0" fontId="13" fillId="14" xfId="0" applyNumberFormat="1" applyFont="1" applyFill="1" applyBorder="0" applyAlignment="1">
      <x:alignment vertical="top" wrapText="1"/>
    </x:xf>
    <x:xf numFmtId="0" fontId="0" fillId="15" borderId="0" xfId="0" applyNumberFormat="1" applyFont="1" applyFill="1" applyBorder="1"/>
    <x:xf numFmtId="0" fontId="13" fillId="15" borderId="0" xfId="0" applyNumberFormat="1" applyFont="1" applyFill="1" applyBorder="1"/>
    <x:xf numFmtId="0" fontId="13" fillId="15" xfId="0" applyNumberFormat="1" applyFont="1" applyFill="1" applyBorder="0"/>
    <x:xf numFmtId="0" fontId="13" fillId="15" xfId="0" applyNumberFormat="1" applyFont="1" applyFill="1" applyBorder="0" applyAlignment="1">
      <x:alignment wrapText="1"/>
    </x:xf>
    <x:xf numFmtId="0" fontId="13" fillId="15" xfId="0" applyNumberFormat="1" applyFont="1" applyFill="1" applyBorder="0" applyAlignment="1">
      <x:alignment vertical="top" wrapText="1"/>
    </x:xf>
    <x:xf numFmtId="200" fontId="13" fillId="14" xfId="0" applyNumberFormat="1" applyFont="1" applyFill="1" applyBorder="0" applyAlignment="1">
      <x:alignment vertical="top" wrapText="1"/>
    </x:xf>
    <x:xf numFmtId="200" fontId="13" fillId="15" xfId="0" applyNumberFormat="1" applyFont="1" applyFill="1" applyBorder="0" applyAlignment="1">
      <x:alignment vertical="top" wrapText="1"/>
    </x:xf>
    <x:xf numFmtId="201" fontId="13" fillId="14" xfId="0" applyNumberFormat="1" applyFont="1" applyFill="1" applyBorder="0" applyAlignment="1">
      <x:alignment vertical="top" wrapText="1"/>
    </x:xf>
    <x:xf numFmtId="201" fontId="13" fillId="15" xfId="0" applyNumberFormat="1" applyFont="1" applyFill="1" applyBorder="0" applyAlignment="1">
      <x:alignment vertical="top" wrapText="1"/>
    </x:xf>
    <x:xf numFmtId="202" fontId="13" fillId="14" xfId="0" applyNumberFormat="1" applyFont="1" applyFill="1" applyBorder="0" applyAlignment="1">
      <x:alignment vertical="top" wrapText="1"/>
    </x:xf>
    <x:xf numFmtId="202" fontId="13" fillId="15" xfId="0" applyNumberFormat="1" applyFont="1" applyFill="1" applyBorder="0" applyAlignment="1">
      <x:alignment vertical="top" wrapText="1"/>
    </x:xf>
    <x:xf numFmtId="203" fontId="13" fillId="14" xfId="0" applyNumberFormat="1" applyFont="1" applyFill="1" applyBorder="0" applyAlignment="1">
      <x:alignment vertical="top" wrapText="1"/>
    </x:xf>
    <x:xf numFmtId="203" fontId="13" fillId="15" xfId="0" applyNumberFormat="1" applyFont="1" applyFill="1" applyBorder="0" applyAlignment="1">
      <x:alignment vertical="top" wrapText="1"/>
    </x:xf>
    <x:xf numFmtId="201" fontId="13" fillId="16" xfId="0" applyNumberFormat="1" applyFont="1" applyFill="1" applyBorder="0" applyAlignment="1">
      <x:alignment vertical="top" wrapText="1"/>
    </x:xf>
    <x:xf numFmtId="0" fontId="5" fillId="13" borderId="0" xfId="0" applyNumberFormat="1" applyFont="1" applyFill="1" applyBorder="1"/>
    <x:xf numFmtId="0" fontId="0" fillId="17" borderId="0" xfId="0" applyNumberFormat="1" applyFont="1" applyFill="1" applyBorder="1"/>
    <x:xf numFmtId="0" fontId="14" fillId="17" borderId="0" xfId="0" applyNumberFormat="1" applyFont="1" applyFill="1" applyBorder="1"/>
    <x:xf numFmtId="0" fontId="14" fillId="17" xfId="0" applyNumberFormat="1" applyFont="1" applyFill="1" applyBorder="0"/>
    <x:xf numFmtId="0" fontId="14" fillId="17" xfId="0" applyNumberFormat="1" applyFont="1" applyFill="1" applyBorder="0" applyAlignment="1">
      <x:alignment wrapText="1"/>
    </x:xf>
    <x:xf numFmtId="0" fontId="14" fillId="17" xfId="0" applyNumberFormat="1" applyFont="1" applyFill="1" applyBorder="0" applyAlignment="1">
      <x:alignment vertical="top" wrapText="1"/>
    </x:xf>
    <x:xf numFmtId="0" fontId="0" fillId="11" borderId="0" xfId="0" applyNumberFormat="1" applyFont="1" applyFill="1" applyBorder="1" applyAlignment="1">
      <x:alignment wrapText="1"/>
    </x:xf>
    <x:xf numFmtId="0" fontId="5" fillId="11" borderId="0" xfId="0" applyNumberFormat="1" applyFont="1" applyFill="1" applyBorder="1" applyAlignment="1">
      <x:alignment wrapText="1"/>
    </x:xf>
    <x:xf numFmtId="0" fontId="13" fillId="18" xfId="0" applyNumberFormat="1" applyFont="1" applyFill="1" applyBorder="0"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f06e8c2452410d" /><Relationship Type="http://schemas.openxmlformats.org/officeDocument/2006/relationships/theme" Target="/xl/theme/theme1.xml" Id="R1262da93c4864ae3" /><Relationship Type="http://schemas.openxmlformats.org/officeDocument/2006/relationships/sharedStrings" Target="/xl/sharedStrings.xml" Id="R5e18b5c6d6d44668" /><Relationship Type="http://schemas.openxmlformats.org/officeDocument/2006/relationships/worksheet" Target="/xl/worksheets/sheet1.xml" Id="R294c27ef48c5431e" /><Relationship Type="http://schemas.openxmlformats.org/officeDocument/2006/relationships/worksheet" Target="/xl/worksheets/sheet2.xml" Id="R6d6e9ebd44994b3a" /><Relationship Type="http://schemas.openxmlformats.org/officeDocument/2006/relationships/worksheet" Target="/xl/worksheets/sheet3.xml" Id="Rbec613c9b62541af" /><Relationship Type="http://schemas.openxmlformats.org/officeDocument/2006/relationships/worksheet" Target="/xl/worksheets/sheet4.xml" Id="R669277d5079a4f97" /><Relationship Type="http://schemas.openxmlformats.org/officeDocument/2006/relationships/worksheet" Target="/xl/worksheets/sheet5.xml" Id="Rf7bed966d7cf4323" /><Relationship Type="http://schemas.openxmlformats.org/officeDocument/2006/relationships/worksheet" Target="/xl/worksheets/sheet6.xml" Id="Rb3f35adf4d40421c" /><Relationship Type="http://schemas.openxmlformats.org/officeDocument/2006/relationships/worksheet" Target="/xl/worksheets/sheet7.xml" Id="Ree7b557b93884ed3" /><Relationship Type="http://schemas.openxmlformats.org/officeDocument/2006/relationships/worksheet" Target="/xl/worksheets/sheet8.xml" Id="Rcf2fc3f408f8461c" /><Relationship Type="http://schemas.openxmlformats.org/officeDocument/2006/relationships/worksheet" Target="/xl/worksheets/sheet9.xml" Id="Rd3eb7f8f03274d8f"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5eb3d0d3ae4bc0" /></Relationships>
</file>

<file path=xl/drawings/charts/chart1.xml><?xml version="1.0" encoding="utf-8"?>
<c:chartSpace xmlns:c="http://schemas.openxmlformats.org/drawingml/2006/chart">
  <c:lang val="en-US"/>
  <c:roundedCorners val="0"/>
  <c:chart>
    <c:plotArea>
      <c:barChart>
        <c:barDir val="col"/>
        <c:varyColors val="0"/>
        <c:ser>
          <c:idx val="0"/>
          <c:order val="0"/>
          <c:tx>
            <c:v>Opportunity Score</c:v>
          </c:tx>
          <c:cat>
            <c:strRef>
              <c:f>'Researched Opportunities'!$C$2:$C$13</c:f>
              <c:strCache>
                <c:ptCount val="0"/>
              </c:strCache>
            </c:strRef>
          </c:cat>
          <c:val>
            <c:numRef>
              <c:f>'Researched Opportunities'!$T$2:$T$13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5eb3d0d3ae4bc0"/>
        </a:graphicData>
      </a:graphic>
    </xdr:graphicFrame>
    <xdr:clientData/>
  </xdr:twoCellAnchor>
</xdr:wsDr>
</file>

<file path=xl/tables/table1.xml><?xml version="1.0" encoding="utf-8"?>
<x:table xmlns:x="http://schemas.openxmlformats.org/spreadsheetml/2006/main" id="1" name="EvergreenOpportunitiesTable" displayName="EvergreenOpportunitiesTable" ref="A1:Y23" headerRowCount="1" totalsRowCount="0" totalsRowShown="0">
  <x:tableColumns count="25">
    <x:tableColumn id="1" name="Rank"/>
    <x:tableColumn id="2" name="Cluster"/>
    <x:tableColumn id="3" name="Search Term"/>
    <x:tableColumn id="4" name="Tool Idea"/>
    <x:tableColumn id="5" name="Monthly Volume&#10;(public est.)"/>
    <x:tableColumn id="6" name="KD&#10;(public est.)"/>
    <x:tableColumn id="7" name="CPC&#10;(public est.)"/>
    <x:tableColumn id="8" name="Metric Source Type"/>
    <x:tableColumn id="9" name="Metric Source URL"/>
    <x:tableColumn id="10" name="SERP Gap&#10;1–5"/>
    <x:tableColumn id="11" name="SERP Gap Notes"/>
    <x:tableColumn id="12" name="Intent Purity&#10;1–5"/>
    <x:tableColumn id="13" name="Zero-Click Risk&#10;1–5 bad"/>
    <x:tableColumn id="14" name="Build Complexity&#10;1 easy–5 hard"/>
    <x:tableColumn id="15" name="Evergreen&#10;1–5"/>
    <x:tableColumn id="16" name="Ad / Commercial&#10;1–5"/>
    <x:tableColumn id="17" name="Cluster Potential&#10;1–5"/>
    <x:tableColumn id="18" name="PR Adjacency"/>
    <x:tableColumn id="19" name="Legal / Platform Risk"/>
    <x:tableColumn id="20" name="Opportunity Score"/>
    <x:tableColumn id="21" name="Tier"/>
    <x:tableColumn id="22" name="Recommendation"/>
    <x:tableColumn id="23" name="Next Validation"/>
    <x:tableColumn id="24" name="SERP Example URLs"/>
    <x:tableColumn id="25" name="Research Date"/>
  </x:tableColumns>
  <x:tableStyleInfo name="TableStyleMedium2" showFirstColumn="0" showLastColumn="0" showRowStripes="1" showColumnStripes="0"/>
</x:table>
</file>

<file path=xl/tables/table2.xml><?xml version="1.0" encoding="utf-8"?>
<x:table xmlns:x="http://schemas.openxmlformats.org/spreadsheetml/2006/main" id="2" name="ValidationQueueTable" displayName="ValidationQueueTable" ref="A1:H11" headerRowCount="1" totalsRowCount="0" totalsRowShown="0">
  <x:tableColumns count="8">
    <x:tableColumn id="1" name="Search Term"/>
    <x:tableColumn id="2" name="Cluster"/>
    <x:tableColumn id="3" name="Volume&#10;(public est.)"/>
    <x:tableColumn id="4" name="KD&#10;(public est.)"/>
    <x:tableColumn id="5" name="CPC"/>
    <x:tableColumn id="6" name="Metric Source URL"/>
    <x:tableColumn id="7" name="Why in Queue / What to Test"/>
    <x:tableColumn id="8" name="SERP Status"/>
  </x:tableColumns>
  <x:tableStyleInfo name="TableStyleMedium2" showFirstColumn="0" showLastColumn="0" showRowStripes="1" showColumnStripes="0"/>
</x:table>
</file>

<file path=xl/tables/table3.xml><?xml version="1.0" encoding="utf-8"?>
<x:table xmlns:x="http://schemas.openxmlformats.org/spreadsheetml/2006/main" id="3" name="LowKDHuntTable" displayName="LowKDHuntTable" ref="A1:J32" headerRowCount="1" totalsRowCount="0" totalsRowShown="0">
  <x:tableColumns count="10">
    <x:tableColumn id="1" name="Long-Tail Search Term to Pull"/>
    <x:tableColumn id="2" name="Parent Tool"/>
    <x:tableColumn id="3" name="Cluster"/>
    <x:tableColumn id="4" name="Ahrefs Volume"/>
    <x:tableColumn id="5" name="Ahrefs KD"/>
    <x:tableColumn id="6" name="Top-10 SERP Checked?"/>
    <x:tableColumn id="7" name="Weakest Top-10 DR"/>
    <x:tableColumn id="8" name="New/Niche Site in Top 10?"/>
    <x:tableColumn id="9" name="Decision"/>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8ad830b04d844f1" /></Relationships>
</file>

<file path=xl/worksheets/_rels/sheet2.xml.rels>&#65279;<?xml version="1.0" encoding="utf-8"?><Relationships xmlns="http://schemas.openxmlformats.org/package/2006/relationships"><Relationship Type="http://schemas.openxmlformats.org/officeDocument/2006/relationships/table" Target="/xl/tables/table1.xml" Id="R3da78bacadc04d16" /></Relationships>
</file>

<file path=xl/worksheets/_rels/sheet3.xml.rels>&#65279;<?xml version="1.0" encoding="utf-8"?><Relationships xmlns="http://schemas.openxmlformats.org/package/2006/relationships"><Relationship Type="http://schemas.openxmlformats.org/officeDocument/2006/relationships/table" Target="/xl/tables/table2.xml" Id="R573eb0f00c844820" /></Relationships>
</file>

<file path=xl/worksheets/_rels/sheet4.xml.rels>&#65279;<?xml version="1.0" encoding="utf-8"?><Relationships xmlns="http://schemas.openxmlformats.org/package/2006/relationships"><Relationship Type="http://schemas.openxmlformats.org/officeDocument/2006/relationships/table" Target="/xl/tables/table3.xml" Id="R4ae237a1274e438a" /></Relationships>
</file>

<file path=xl/worksheets/sheet1.xml><?xml version="1.0" encoding="utf-8"?>
<x:worksheet xmlns:x="http://schemas.openxmlformats.org/spreadsheetml/2006/main">
  <x:sheetFormatPr defaultRowHeight="15"/>
  <x:cols>
    <x:col min="1" max="1" width="25" hidden="0" customWidth="1"/>
    <x:col min="2" max="2" width="45" hidden="0" customWidth="1"/>
    <x:col min="3" max="3" width="44" hidden="0" customWidth="1"/>
    <x:col min="4" max="4" width="54" hidden="0" customWidth="1"/>
    <x:col min="5" max="5" width="12" hidden="0" customWidth="1"/>
    <x:col min="6" max="6" width="16" hidden="0" customWidth="1"/>
    <x:col min="7" max="7" width="16" hidden="0" customWidth="1"/>
    <x:col min="8" max="8" width="16" hidden="0" customWidth="1"/>
  </x:cols>
  <x:sheetData>
    <x:row r="1">
      <x:c r="A1" s="90" t="str">
        <x:v>Evergreen Tool Opportunity Research</x:v>
      </x:c>
      <x:c r="B1" s="13"/>
      <x:c r="C1" s="13"/>
      <x:c r="D1" s="13"/>
      <x:c r="E1" s="13"/>
      <x:c r="F1" s="13"/>
      <x:c r="G1" s="13"/>
      <x:c r="H1" s="13"/>
    </x:row>
    <x:row r="2">
      <x:c r="A2" s="91" t="str">
        <x:v>Current first-pass research • public estimates + live SERP gap review • 2026-08-10</x:v>
      </x:c>
      <x:c r="B2" s="13"/>
      <x:c r="C2" s="13"/>
      <x:c r="D2" s="13"/>
      <x:c r="E2" s="13"/>
      <x:c r="F2" s="13"/>
      <x:c r="G2" s="13"/>
      <x:c r="H2" s="13"/>
    </x:row>
    <x:row r="3">
      <x:c r="A3" s="13"/>
      <x:c r="B3" s="13"/>
      <x:c r="C3" s="13"/>
      <x:c r="D3" s="13"/>
      <x:c r="E3" s="13"/>
      <x:c r="F3" s="13"/>
      <x:c r="G3" s="13"/>
      <x:c r="H3" s="13"/>
    </x:row>
    <x:row r="4">
      <x:c r="A4" s="12" t="str">
        <x:v>What this workbook answers</x:v>
      </x:c>
      <x:c r="B4" s="13" t="str"/>
      <x:c r="C4" s="13"/>
      <x:c r="D4" s="92" t="str">
        <x:v>Most important strategic correction</x:v>
      </x:c>
      <x:c r="E4" s="13"/>
      <x:c r="F4" s="13"/>
      <x:c r="G4" s="13"/>
      <x:c r="H4" s="13"/>
    </x:row>
    <x:row r="5">
      <x:c r="A5" s="12" t="str">
        <x:v>Actual search terms?</x:v>
      </x:c>
      <x:c r="B5" s="13" t="str">
        <x:v>Yes — exact phrases are listed.</x:v>
      </x:c>
      <x:c r="C5" s="13"/>
      <x:c r="D5" s="22" t="str">
        <x:v>Do not make KD ≤10 a hard rule. KD is proprietary and tool-specific. Use it as one filter, then inspect the actual SERP. A niche/new tool ranking against weaker domains can be a stronger signal than the cutoff. Penalize queries Google/AI can satisfy without a click.</x:v>
      </x:c>
      <x:c r="E5" s="13"/>
      <x:c r="F5" s="13"/>
      <x:c r="G5" s="13"/>
      <x:c r="H5" s="13"/>
    </x:row>
    <x:row r="6">
      <x:c r="A6" s="12" t="str">
        <x:v>Difficulty?</x:v>
      </x:c>
      <x:c r="B6" s="13" t="str">
        <x:v>Public estimates where available; validate finalists in Ahrefs.</x:v>
      </x:c>
      <x:c r="C6" s="13"/>
      <x:c r="D6" s="13"/>
      <x:c r="E6" s="13"/>
      <x:c r="F6" s="13"/>
      <x:c r="G6" s="13"/>
      <x:c r="H6" s="13"/>
    </x:row>
    <x:row r="7">
      <x:c r="A7" s="12" t="str">
        <x:v>SERP?</x:v>
      </x:c>
      <x:c r="B7" s="13" t="str">
        <x:v>Representative current result URLs + a manual SERP-gap score.</x:v>
      </x:c>
      <x:c r="C7" s="13"/>
      <x:c r="D7" s="13"/>
      <x:c r="E7" s="13"/>
      <x:c r="F7" s="13"/>
      <x:c r="G7" s="13"/>
      <x:c r="H7" s="13"/>
    </x:row>
    <x:row r="8">
      <x:c r="A8" s="13"/>
      <x:c r="B8" s="13"/>
      <x:c r="C8" s="13"/>
      <x:c r="D8" s="13"/>
      <x:c r="E8" s="13"/>
      <x:c r="F8" s="13"/>
      <x:c r="G8" s="13"/>
      <x:c r="H8" s="13"/>
    </x:row>
    <x:row r="9">
      <x:c r="A9" s="13"/>
      <x:c r="B9" s="13"/>
      <x:c r="C9" s="13"/>
      <x:c r="D9" s="13"/>
      <x:c r="E9" s="13"/>
      <x:c r="F9" s="13"/>
      <x:c r="G9" s="13"/>
      <x:c r="H9" s="13"/>
    </x:row>
    <x:row r="10">
      <x:c r="A10" s="28" t="str">
        <x:v>KPI</x:v>
      </x:c>
      <x:c r="B10" s="28" t="str">
        <x:v>Value</x:v>
      </x:c>
      <x:c r="C10" s="13"/>
      <x:c r="D10" s="28" t="str">
        <x:v>Recommended path</x:v>
      </x:c>
      <x:c r="E10" s="28" t="str">
        <x:v>Current answer</x:v>
      </x:c>
      <x:c r="F10" s="13"/>
      <x:c r="G10" s="13"/>
      <x:c r="H10" s="13"/>
    </x:row>
    <x:row r="11">
      <x:c r="A11" s="13" t="str">
        <x:v>Researched terms</x:v>
      </x:c>
      <x:c r="B11" s="13" t="n">
        <x:v>22</x:v>
      </x:c>
      <x:c r="C11" s="13"/>
      <x:c r="D11" s="13" t="str">
        <x:v>Free/manual</x:v>
      </x:c>
      <x:c r="E11" s="13" t="str">
        <x:v>Ahrefs free Keyword Generator + SERP Checker + Google Keyword Planner</x:v>
      </x:c>
      <x:c r="F11" s="13"/>
      <x:c r="G11" s="13"/>
      <x:c r="H11" s="13"/>
    </x:row>
    <x:row r="12">
      <x:c r="A12" s="13" t="str">
        <x:v>Need paid metric validation</x:v>
      </x:c>
      <x:c r="B12" s="13" t="n">
        <x:v>8</x:v>
      </x:c>
      <x:c r="C12" s="13"/>
      <x:c r="D12" s="13" t="str">
        <x:v>Systematic paid</x:v>
      </x:c>
      <x:c r="E12" s="13" t="str">
        <x:v>Ahrefs Starter — $29/month</x:v>
      </x:c>
      <x:c r="F12" s="13"/>
      <x:c r="G12" s="13"/>
      <x:c r="H12" s="13"/>
    </x:row>
    <x:row r="13">
      <x:c r="A13" s="13" t="str">
        <x:v>High SERP-gap terms (4–5)</x:v>
      </x:c>
      <x:c r="B13" s="13" t="n">
        <x:v>12</x:v>
      </x:c>
      <x:c r="C13" s="13"/>
      <x:c r="D13" s="13" t="str">
        <x:v>Why pay</x:v>
      </x:c>
      <x:c r="E13" s="13" t="str">
        <x:v>Keywords Explorer + Site Explorer + consistent proprietary KD/volume/authority data</x:v>
      </x:c>
      <x:c r="F13" s="13"/>
      <x:c r="G13" s="13"/>
      <x:c r="H13" s="13"/>
    </x:row>
    <x:row r="14">
      <x:c r="A14" s="13"/>
      <x:c r="B14" s="13"/>
      <x:c r="C14" s="13"/>
      <x:c r="D14" s="13"/>
      <x:c r="E14" s="13"/>
      <x:c r="F14" s="13"/>
      <x:c r="G14" s="13"/>
      <x:c r="H14" s="13"/>
    </x:row>
    <x:row r="15">
      <x:c r="A15" s="13"/>
      <x:c r="B15" s="13"/>
      <x:c r="C15" s="13"/>
      <x:c r="D15" s="13"/>
      <x:c r="E15" s="13"/>
      <x:c r="F15" s="13"/>
      <x:c r="G15" s="13"/>
      <x:c r="H15" s="13"/>
    </x:row>
    <x:row r="16">
      <x:c r="A16" s="93" t="str">
        <x:v>What looks most interesting right now</x:v>
      </x:c>
      <x:c r="B16" s="13"/>
      <x:c r="C16" s="13"/>
      <x:c r="D16" s="13"/>
      <x:c r="E16" s="13"/>
      <x:c r="F16" s="13"/>
      <x:c r="G16" s="13"/>
      <x:c r="H16" s="13"/>
    </x:row>
    <x:row r="17">
      <x:c r="A17" s="35" t="str">
        <x:v>1. Text cleanup: line counter + duplicate-line remover show unusually strong niche/new-site signals and cost almost nothing to run.</x:v>
      </x:c>
      <x:c r="B17" s="13"/>
      <x:c r="C17" s="13"/>
      <x:c r="D17" s="13"/>
      <x:c r="E17" s="13"/>
      <x:c r="F17" s="13"/>
      <x:c r="G17" s="13"/>
      <x:c r="H17" s="13"/>
    </x:row>
    <x:row r="18">
      <x:c r="A18" s="39" t="str">
        <x:v>2. Developer utilities: timestamp, hash, UUID, Base64, JSON and SQL can share one reusable ToolShell and have repeat-use intent.</x:v>
      </x:c>
      <x:c r="B18" s="13"/>
      <x:c r="C18" s="13"/>
      <x:c r="D18" s="13"/>
      <x:c r="E18" s="13"/>
      <x:c r="F18" s="13"/>
      <x:c r="G18" s="13"/>
      <x:c r="H18" s="13"/>
    </x:row>
    <x:row r="19">
      <x:c r="A19" s="35" t="str">
        <x:v>3. Property calculators: mulch/fence/measurement modifiers are strategically attractive because they can also feed Property Response naturally.</x:v>
      </x:c>
      <x:c r="B19" s="13"/>
      <x:c r="C19" s="13"/>
      <x:c r="D19" s="13"/>
      <x:c r="E19" s="13"/>
      <x:c r="F19" s="13"/>
      <x:c r="G19" s="13"/>
      <x:c r="H19" s="13"/>
    </x:row>
    <x:row r="20">
      <x:c r="A20" s="39" t="str">
        <x:v>4. Avoid head terms dominated by brands or native answers: password generator, paint calculator, broad timezone/date/percentage tools.</x:v>
      </x:c>
      <x:c r="B20" s="13"/>
      <x:c r="C20" s="13"/>
      <x:c r="D20" s="13"/>
      <x:c r="E20" s="13"/>
      <x:c r="F20" s="13"/>
      <x:c r="G20" s="13"/>
      <x:c r="H20" s="13"/>
    </x:row>
    <x:row r="21">
      <x:c r="A21" s="13"/>
      <x:c r="B21" s="13"/>
      <x:c r="C21" s="13"/>
      <x:c r="D21" s="13"/>
      <x:c r="E21" s="13"/>
      <x:c r="F21" s="13"/>
      <x:c r="G21" s="13"/>
      <x:c r="H21" s="13"/>
    </x:row>
    <x:row r="22">
      <x:c r="A22" s="135" t="str">
        <x:v>TRIAL RUN ADDENDUM — HOMEOWNER PROBLEM INTENT + HOME CALCULATORS</x:v>
      </x:c>
      <x:c r="B22" s="135"/>
      <x:c r="C22" s="135"/>
      <x:c r="D22" s="135"/>
      <x:c r="E22" s="135"/>
      <x:c r="F22" s="13"/>
      <x:c r="G22" s="13"/>
      <x:c r="H22" s="13"/>
    </x:row>
    <x:row r="23" ht="34" customHeight="1">
      <x:c r="A23" s="108" t="str">
        <x:v>New sheet</x:v>
      </x:c>
      <x:c r="B23" s="108" t="str">
        <x:v>Purpose</x:v>
      </x:c>
      <x:c r="C23" s="108" t="str">
        <x:v>Best current signal</x:v>
      </x:c>
      <x:c r="D23" s="108" t="str">
        <x:v>Do next</x:v>
      </x:c>
      <x:c r="E23" s="108" t="str">
        <x:v>Status</x:v>
      </x:c>
    </x:row>
    <x:row r="24" ht="62" customHeight="1">
      <x:c r="A24" s="113" t="str">
        <x:v>Trial Summary</x:v>
      </x:c>
      <x:c r="B24" s="113" t="str">
        <x:v>Decision summary for the simplified ranking test</x:v>
      </x:c>
      <x:c r="C24" s="113" t="str">
        <x:v>AC symptom cluster + driveway gravel calculator</x:v>
      </x:c>
      <x:c r="D24" s="113" t="str">
        <x:v>Read first</x:v>
      </x:c>
      <x:c r="E24" s="136" t="str">
        <x:v>NEW</x:v>
      </x:c>
    </x:row>
    <x:row r="25" ht="62" customHeight="1">
      <x:c r="A25" s="118" t="str">
        <x:v>Trial - Problem Intent</x:v>
      </x:c>
      <x:c r="B25" s="118" t="str">
        <x:v>Actual homeowner 'X is happening — what do I do?' search terms</x:v>
      </x:c>
      <x:c r="C25" s="118" t="str">
        <x:v>AC not turning on / AC warm air / ceiling leak / garage door won't close</x:v>
      </x:c>
      <x:c r="D25" s="118" t="str">
        <x:v>Validate exact top terms in Ahrefs; then build 5-page reusable engine</x:v>
      </x:c>
      <x:c r="E25" s="136" t="str">
        <x:v>NEW</x:v>
      </x:c>
    </x:row>
    <x:row r="26" ht="62" customHeight="1">
      <x:c r="A26" s="113" t="str">
        <x:v>Trial - Calculators</x:v>
      </x:c>
      <x:c r="B26" s="113" t="str">
        <x:v>Evergreen calculator suite candidates tied to future PR value</x:v>
      </x:c>
      <x:c r="C26" s="113" t="str">
        <x:v>Driveway gravel / fence material / concrete slab</x:v>
      </x:c>
      <x:c r="D26" s="113" t="str">
        <x:v>Validate exact KD + top-10 authority</x:v>
      </x:c>
      <x:c r="E26" s="136" t="str">
        <x:v>NEW</x:v>
      </x:c>
    </x:row>
    <x:row r="27" ht="62" customHeight="1">
      <x:c r="A27" s="118" t="str">
        <x:v>Trial - Ahrefs Queue</x:v>
      </x:c>
      <x:c r="B27" s="118" t="str">
        <x:v>Exact finalists to pull proprietary KD/DR/UR/backlinks for</x:v>
      </x:c>
      <x:c r="C27" s="118" t="str">
        <x:v>20 prioritized keywords</x:v>
      </x:c>
      <x:c r="D27" s="118" t="str">
        <x:v>Use one paid month only after this free pass</x:v>
      </x:c>
      <x:c r="E27" s="136" t="str">
        <x:v>NEW</x:v>
      </x:c>
    </x:row>
  </x:sheetData>
  <x:mergeCells>
    <x:mergeCell ref="A1:H1"/>
    <x:mergeCell ref="A2:H2"/>
    <x:mergeCell ref="D4:H4"/>
    <x:mergeCell ref="D5:H7"/>
    <x:mergeCell ref="A16:H16"/>
    <x:mergeCell ref="A17:H17"/>
    <x:mergeCell ref="A18:H18"/>
    <x:mergeCell ref="A19:H19"/>
    <x:mergeCell ref="A20:H20"/>
    <x:mergeCell ref="A22:E22"/>
  </x:mergeCells>
  <x:pageMargins left="0.7" right="0.7" top="0.75" bottom="0.75" header="0.3" footer="0.3"/>
  <x:drawing xmlns:r="http://schemas.openxmlformats.org/officeDocument/2006/relationships" r:id="Ra8ad830b04d844f1"/>
</x:worksheet>
</file>

<file path=xl/worksheets/sheet2.xml><?xml version="1.0" encoding="utf-8"?>
<x:worksheet xmlns:x="http://schemas.openxmlformats.org/spreadsheetml/2006/main">
  <x:sheetFormatPr defaultRowHeight="15"/>
  <x:cols>
    <x:col min="1" max="1" width="7" hidden="0" customWidth="1"/>
    <x:col min="2" max="2" width="19" hidden="0" customWidth="1"/>
    <x:col min="3" max="3" width="25" hidden="0" customWidth="1"/>
    <x:col min="4" max="4" width="25" hidden="0" customWidth="1"/>
    <x:col min="5" max="5" width="13" hidden="0" customWidth="1"/>
    <x:col min="6" max="6" width="9" hidden="0" customWidth="1"/>
    <x:col min="7" max="7" width="10" hidden="0" customWidth="1"/>
    <x:col min="8" max="8" width="28" hidden="0" customWidth="1"/>
    <x:col min="9" max="9" width="38" hidden="0" customWidth="1"/>
    <x:col min="10" max="10" width="10" hidden="0" customWidth="1"/>
    <x:col min="11" max="11" width="42" hidden="0" customWidth="1"/>
    <x:col min="12" max="12" width="11" hidden="0" customWidth="1"/>
    <x:col min="13" max="13" width="13" hidden="0" customWidth="1"/>
    <x:col min="14" max="14" width="14" hidden="0" customWidth="1"/>
    <x:col min="15" max="15" width="10" hidden="0" customWidth="1"/>
    <x:col min="16" max="16" width="13" hidden="0" customWidth="1"/>
    <x:col min="17" max="17" width="13" hidden="0" customWidth="1"/>
    <x:col min="18" max="18" width="13" hidden="0" customWidth="1"/>
    <x:col min="19" max="19" width="15" hidden="0" customWidth="1"/>
    <x:col min="20" max="20" width="12" hidden="0" customWidth="1"/>
    <x:col min="21" max="21" width="17" hidden="0" customWidth="1"/>
    <x:col min="22" max="22" width="19" hidden="0" customWidth="1"/>
    <x:col min="23" max="23" width="42" hidden="0" customWidth="1"/>
    <x:col min="24" max="24" width="55" hidden="0" customWidth="1"/>
    <x:col min="25" max="25" width="12" hidden="0" customWidth="1"/>
  </x:cols>
  <x:sheetData>
    <x:row r="1">
      <x:c r="A1" s="43" t="str">
        <x:v>Rank</x:v>
      </x:c>
      <x:c r="B1" s="43" t="str">
        <x:v>Cluster</x:v>
      </x:c>
      <x:c r="C1" s="43" t="str">
        <x:v>Search Term</x:v>
      </x:c>
      <x:c r="D1" s="43" t="str">
        <x:v>Tool Idea</x:v>
      </x:c>
      <x:c r="E1" s="43" t="str">
        <x:v>Monthly Volume
(public est.)</x:v>
      </x:c>
      <x:c r="F1" s="43" t="str">
        <x:v>KD
(public est.)</x:v>
      </x:c>
      <x:c r="G1" s="43" t="str">
        <x:v>CPC
(public est.)</x:v>
      </x:c>
      <x:c r="H1" s="43" t="str">
        <x:v>Metric Source Type</x:v>
      </x:c>
      <x:c r="I1" s="43" t="str">
        <x:v>Metric Source URL</x:v>
      </x:c>
      <x:c r="J1" s="43" t="str">
        <x:v>SERP Gap
1–5</x:v>
      </x:c>
      <x:c r="K1" s="43" t="str">
        <x:v>SERP Gap Notes</x:v>
      </x:c>
      <x:c r="L1" s="43" t="str">
        <x:v>Intent Purity
1–5</x:v>
      </x:c>
      <x:c r="M1" s="43" t="str">
        <x:v>Zero-Click Risk
1–5 bad</x:v>
      </x:c>
      <x:c r="N1" s="43" t="str">
        <x:v>Build Complexity
1 easy–5 hard</x:v>
      </x:c>
      <x:c r="O1" s="43" t="str">
        <x:v>Evergreen
1–5</x:v>
      </x:c>
      <x:c r="P1" s="43" t="str">
        <x:v>Ad / Commercial
1–5</x:v>
      </x:c>
      <x:c r="Q1" s="43" t="str">
        <x:v>Cluster Potential
1–5</x:v>
      </x:c>
      <x:c r="R1" s="43" t="str">
        <x:v>PR Adjacency</x:v>
      </x:c>
      <x:c r="S1" s="43" t="str">
        <x:v>Legal / Platform Risk</x:v>
      </x:c>
      <x:c r="T1" s="43" t="str">
        <x:v>Opportunity Score</x:v>
      </x:c>
      <x:c r="U1" s="43" t="str">
        <x:v>Tier</x:v>
      </x:c>
      <x:c r="V1" s="43" t="str">
        <x:v>Recommendation</x:v>
      </x:c>
      <x:c r="W1" s="43" t="str">
        <x:v>Next Validation</x:v>
      </x:c>
      <x:c r="X1" s="43" t="str">
        <x:v>SERP Example URLs</x:v>
      </x:c>
      <x:c r="Y1" s="43" t="str">
        <x:v>Research Date</x:v>
      </x:c>
    </x:row>
    <x:row r="2">
      <x:c r="A2" s="62" t="n">
        <x:f>RANK.EQ(T2,$T$2:$T$23,0)</x:f>
        <x:v>7</x:v>
      </x:c>
      <x:c r="B2" s="62" t="str">
        <x:v>Text Utilities</x:v>
      </x:c>
      <x:c r="C2" s="62" t="str">
        <x:v>line counter</x:v>
      </x:c>
      <x:c r="D2" s="62" t="str">
        <x:v>Line Counter</x:v>
      </x:c>
      <x:c r="E2" s="63"/>
      <x:c r="F2" s="64"/>
      <x:c r="G2" s="65"/>
      <x:c r="H2" s="62" t="str">
        <x:v>Needs Ahrefs/Keyword Planner validation</x:v>
      </x:c>
      <x:c r="I2" s="62" t="str"/>
      <x:c r="J2" s="62" t="n">
        <x:v>5</x:v>
      </x:c>
      <x:c r="K2" s="62" t="str">
        <x:v>Current SERP sample includes linecounter.org (crawled ~2 weeks ago) and other niche utility sites; strong signal that focused tools can compete.</x:v>
      </x:c>
      <x:c r="L2" s="62" t="n">
        <x:v>5</x:v>
      </x:c>
      <x:c r="M2" s="62" t="n">
        <x:v>1</x:v>
      </x:c>
      <x:c r="N2" s="62" t="n">
        <x:v>1</x:v>
      </x:c>
      <x:c r="O2" s="62" t="n">
        <x:v>5</x:v>
      </x:c>
      <x:c r="P2" s="62" t="n">
        <x:v>2</x:v>
      </x:c>
      <x:c r="Q2" s="62" t="n">
        <x:v>5</x:v>
      </x:c>
      <x:c r="R2" s="62" t="str">
        <x:v>None</x:v>
      </x:c>
      <x:c r="S2" s="62" t="str">
        <x:v>None</x:v>
      </x:c>
      <x:c r="T2" s="64" t="n">
        <x:f>ROUND(IF(E2="",7.5,MIN(E2/100000,1)*15)+IF(F2="",7.5,(100-F2)/100*15)+(J2/5*20)+(L2/5*10)+((6-M2)/5*10)+((6-N2)/5*5)+(O2/5*10)+(P2/5*5)+(Q2/5*10)-IF(S2="High",20,IF(S2="Moderate",8,0)),0)</x:f>
        <x:v>82</x:v>
      </x:c>
      <x:c r="U2" s="62" t="str">
        <x:f>IF(T2&gt;=78,"A - Research first",IF(T2&gt;=68,"B - Validate",IF(T2&gt;=58,"C - Watch","D - Skip")))</x:f>
        <x:v>A - Research first</x:v>
      </x:c>
      <x:c r="V2" s="62" t="str">
        <x:v>RESEARCH FIRST</x:v>
      </x:c>
      <x:c r="W2" s="62" t="str">
        <x:v>Pull Ahrefs volume/KD + top-10 DR/UR. Check variants: count lines in text, online line counter, code line counter.</x:v>
      </x:c>
      <x:c r="X2" s="62" t="str">
        <x:v>https://linecounter.org/</x:v>
      </x:c>
      <x:c r="Y2" s="66" t="n">
        <x:v>46244</x:v>
      </x:c>
    </x:row>
    <x:row r="3">
      <x:c r="A3" s="62" t="n">
        <x:f>RANK.EQ(T3,$T$2:$T$23,0)</x:f>
        <x:v>7</x:v>
      </x:c>
      <x:c r="B3" s="62" t="str">
        <x:v>Text Utilities</x:v>
      </x:c>
      <x:c r="C3" s="62" t="str">
        <x:v>remove duplicate lines</x:v>
      </x:c>
      <x:c r="D3" s="62" t="str">
        <x:v>Duplicate Line Remover</x:v>
      </x:c>
      <x:c r="E3" s="63"/>
      <x:c r="F3" s="64"/>
      <x:c r="G3" s="65"/>
      <x:c r="H3" s="62" t="str">
        <x:v>Needs Ahrefs/Keyword Planner validation</x:v>
      </x:c>
      <x:c r="I3" s="62" t="str"/>
      <x:c r="J3" s="62" t="n">
        <x:v>5</x:v>
      </x:c>
      <x:c r="K3" s="62" t="str">
        <x:v>Current SERP sample includes iforgeapps.com tool crawled last week; intent is extremely pure and the job is trivial client-side.</x:v>
      </x:c>
      <x:c r="L3" s="62" t="n">
        <x:v>5</x:v>
      </x:c>
      <x:c r="M3" s="62" t="n">
        <x:v>1</x:v>
      </x:c>
      <x:c r="N3" s="62" t="n">
        <x:v>1</x:v>
      </x:c>
      <x:c r="O3" s="62" t="n">
        <x:v>5</x:v>
      </x:c>
      <x:c r="P3" s="62" t="n">
        <x:v>2</x:v>
      </x:c>
      <x:c r="Q3" s="62" t="n">
        <x:v>5</x:v>
      </x:c>
      <x:c r="R3" s="62" t="str">
        <x:v>None</x:v>
      </x:c>
      <x:c r="S3" s="62" t="str">
        <x:v>None</x:v>
      </x:c>
      <x:c r="T3" s="64" t="n">
        <x:f>ROUND(IF(E3="",7.5,MIN(E3/100000,1)*15)+IF(F3="",7.5,(100-F3)/100*15)+(J3/5*20)+(L3/5*10)+((6-M3)/5*10)+((6-N3)/5*5)+(O3/5*10)+(P3/5*5)+(Q3/5*10)-IF(S3="High",20,IF(S3="Moderate",8,0)),0)</x:f>
        <x:v>82</x:v>
      </x:c>
      <x:c r="U3" s="62" t="str">
        <x:f>IF(T3&gt;=78,"A - Research first",IF(T3&gt;=68,"B - Validate",IF(T3&gt;=58,"C - Watch","D - Skip")))</x:f>
        <x:v>A - Research first</x:v>
      </x:c>
      <x:c r="V3" s="62" t="str">
        <x:v>RESEARCH FIRST</x:v>
      </x:c>
      <x:c r="W3" s="62" t="str">
        <x:v>Pull Ahrefs volume/KD. Check: duplicate line remover, remove duplicates from list, remove duplicate rows online.</x:v>
      </x:c>
      <x:c r="X3" s="62" t="str">
        <x:v>https://iforgeapps.com/tools/duplicate-line-remover/</x:v>
      </x:c>
      <x:c r="Y3" s="66" t="n">
        <x:v>46244</x:v>
      </x:c>
    </x:row>
    <x:row r="4">
      <x:c r="A4" s="62" t="n">
        <x:f>RANK.EQ(T4,$T$2:$T$23,0)</x:f>
        <x:v>5</x:v>
      </x:c>
      <x:c r="B4" s="62" t="str">
        <x:v>Developer / Time</x:v>
      </x:c>
      <x:c r="C4" s="62" t="str">
        <x:v>timestamp converter</x:v>
      </x:c>
      <x:c r="D4" s="62" t="str">
        <x:v>Unix Timestamp Converter</x:v>
      </x:c>
      <x:c r="E4" s="63" t="n">
        <x:v>48000</x:v>
      </x:c>
      <x:c r="F4" s="64" t="n">
        <x:v>22</x:v>
      </x:c>
      <x:c r="G4" s="65" t="n">
        <x:v>0.95</x:v>
      </x:c>
      <x:c r="H4" s="62" t="str">
        <x:v>KDROI public estimate — validate in Ahrefs</x:v>
      </x:c>
      <x:c r="I4" s="62" t="str">
        <x:v>https://kdroi.io/analysis/timestamp-converter</x:v>
      </x:c>
      <x:c r="J4" s="62" t="n">
        <x:v>5</x:v>
      </x:c>
      <x:c r="K4" s="62" t="str">
        <x:v>Current SERP sample surfaced devtools.tools page crawled last week. Strong new/niche-site signal plus exact tool intent.</x:v>
      </x:c>
      <x:c r="L4" s="62" t="n">
        <x:v>5</x:v>
      </x:c>
      <x:c r="M4" s="62" t="n">
        <x:v>2</x:v>
      </x:c>
      <x:c r="N4" s="62" t="n">
        <x:v>1</x:v>
      </x:c>
      <x:c r="O4" s="62" t="n">
        <x:v>5</x:v>
      </x:c>
      <x:c r="P4" s="62" t="n">
        <x:v>3</x:v>
      </x:c>
      <x:c r="Q4" s="62" t="n">
        <x:v>5</x:v>
      </x:c>
      <x:c r="R4" s="62" t="str">
        <x:v>None</x:v>
      </x:c>
      <x:c r="S4" s="62" t="str">
        <x:v>None</x:v>
      </x:c>
      <x:c r="T4" s="64" t="n">
        <x:f>ROUND(IF(E4="",7.5,MIN(E4/100000,1)*15)+IF(F4="",7.5,(100-F4)/100*15)+(J4/5*20)+(L4/5*10)+((6-M4)/5*10)+((6-N4)/5*5)+(O4/5*10)+(P4/5*5)+(Q4/5*10)-IF(S4="High",20,IF(S4="Moderate",8,0)),0)</x:f>
        <x:v>85</x:v>
      </x:c>
      <x:c r="U4" s="62" t="str">
        <x:f>IF(T4&gt;=78,"A - Research first",IF(T4&gt;=68,"B - Validate",IF(T4&gt;=58,"C - Watch","D - Skip")))</x:f>
        <x:v>A - Research first</x:v>
      </x:c>
      <x:c r="V4" s="62" t="str">
        <x:v>RESEARCH FIRST</x:v>
      </x:c>
      <x:c r="W4" s="62" t="str">
        <x:v>Validate KD in Ahrefs and inspect top 10 DR/UR. Check milliseconds, epoch, ISO, timezone modifiers.</x:v>
      </x:c>
      <x:c r="X4" s="62" t="str">
        <x:v>https://www.devtools.tools/timestamp-converter</x:v>
      </x:c>
      <x:c r="Y4" s="66" t="n">
        <x:v>46244</x:v>
      </x:c>
    </x:row>
    <x:row r="5">
      <x:c r="A5" s="62" t="n">
        <x:f>RANK.EQ(T5,$T$2:$T$23,0)</x:f>
        <x:v>4</x:v>
      </x:c>
      <x:c r="B5" s="62" t="str">
        <x:v>Developer Utilities</x:v>
      </x:c>
      <x:c r="C5" s="62" t="str">
        <x:v>hash generator</x:v>
      </x:c>
      <x:c r="D5" s="62" t="str">
        <x:v>Hash Generator</x:v>
      </x:c>
      <x:c r="E5" s="63" t="n">
        <x:v>45000</x:v>
      </x:c>
      <x:c r="F5" s="64" t="n">
        <x:v>20</x:v>
      </x:c>
      <x:c r="G5" s="65" t="n">
        <x:v>1.15</x:v>
      </x:c>
      <x:c r="H5" s="62" t="str">
        <x:v>KDROI public estimate — validate in Ahrefs</x:v>
      </x:c>
      <x:c r="I5" s="62" t="str">
        <x:v>https://kdroi.io/analysis/hash-generator</x:v>
      </x:c>
      <x:c r="J5" s="62" t="n">
        <x:v>5</x:v>
      </x:c>
      <x:c r="K5" s="62" t="str">
        <x:v>SERP sample contains niche exact-tool sites such as md5hashgenerator.com and Coddy's 2026 tool page; weak-to-mixed authority.</x:v>
      </x:c>
      <x:c r="L5" s="62" t="n">
        <x:v>5</x:v>
      </x:c>
      <x:c r="M5" s="62" t="n">
        <x:v>1</x:v>
      </x:c>
      <x:c r="N5" s="62" t="n">
        <x:v>1</x:v>
      </x:c>
      <x:c r="O5" s="62" t="n">
        <x:v>5</x:v>
      </x:c>
      <x:c r="P5" s="62" t="n">
        <x:v>3</x:v>
      </x:c>
      <x:c r="Q5" s="62" t="n">
        <x:v>5</x:v>
      </x:c>
      <x:c r="R5" s="62" t="str">
        <x:v>None</x:v>
      </x:c>
      <x:c r="S5" s="62" t="str">
        <x:v>None</x:v>
      </x:c>
      <x:c r="T5" s="64" t="n">
        <x:f>ROUND(IF(E5="",7.5,MIN(E5/100000,1)*15)+IF(F5="",7.5,(100-F5)/100*15)+(J5/5*20)+(L5/5*10)+((6-M5)/5*10)+((6-N5)/5*5)+(O5/5*10)+(P5/5*5)+(Q5/5*10)-IF(S5="High",20,IF(S5="Moderate",8,0)),0)</x:f>
        <x:v>87</x:v>
      </x:c>
      <x:c r="U5" s="62" t="str">
        <x:f>IF(T5&gt;=78,"A - Research first",IF(T5&gt;=68,"B - Validate",IF(T5&gt;=58,"C - Watch","D - Skip")))</x:f>
        <x:v>A - Research first</x:v>
      </x:c>
      <x:c r="V5" s="62" t="str">
        <x:v>RESEARCH FIRST</x:v>
      </x:c>
      <x:c r="W5" s="62" t="str">
        <x:v>Validate head term and SHA-256 / bcrypt / checksum variants. Avoid unsafe claims about password security.</x:v>
      </x:c>
      <x:c r="X5" s="62" t="str">
        <x:v>https://www.md5hashgenerator.com/ ; https://coddy.tech/tools/hash-generator</x:v>
      </x:c>
      <x:c r="Y5" s="66" t="n">
        <x:v>46244</x:v>
      </x:c>
    </x:row>
    <x:row r="6">
      <x:c r="A6" s="62" t="n">
        <x:f>RANK.EQ(T6,$T$2:$T$23,0)</x:f>
        <x:v>1</x:v>
      </x:c>
      <x:c r="B6" s="62" t="str">
        <x:v>Developer Utilities</x:v>
      </x:c>
      <x:c r="C6" s="62" t="str">
        <x:v>uuid generator</x:v>
      </x:c>
      <x:c r="D6" s="62" t="str">
        <x:v>UUID Generator</x:v>
      </x:c>
      <x:c r="E6" s="63" t="n">
        <x:v>110000</x:v>
      </x:c>
      <x:c r="F6" s="64" t="n">
        <x:v>22</x:v>
      </x:c>
      <x:c r="G6" s="65" t="n">
        <x:v>0.85</x:v>
      </x:c>
      <x:c r="H6" s="62" t="str">
        <x:v>KDROI public estimate — validate in Ahrefs</x:v>
      </x:c>
      <x:c r="I6" s="62" t="str">
        <x:v>https://kdroi.io/analysis/uuid-generator</x:v>
      </x:c>
      <x:c r="J6" s="62" t="n">
        <x:v>4</x:v>
      </x:c>
      <x:c r="K6" s="62" t="str">
        <x:v>SERP sample is mixed: niche uuidgenerator.net/guidgenerator.com plus Kinde and FusionAuth. Still clearly tool-first.</x:v>
      </x:c>
      <x:c r="L6" s="62" t="n">
        <x:v>5</x:v>
      </x:c>
      <x:c r="M6" s="62" t="n">
        <x:v>1</x:v>
      </x:c>
      <x:c r="N6" s="62" t="n">
        <x:v>1</x:v>
      </x:c>
      <x:c r="O6" s="62" t="n">
        <x:v>5</x:v>
      </x:c>
      <x:c r="P6" s="62" t="n">
        <x:v>3</x:v>
      </x:c>
      <x:c r="Q6" s="62" t="n">
        <x:v>5</x:v>
      </x:c>
      <x:c r="R6" s="62" t="str">
        <x:v>None</x:v>
      </x:c>
      <x:c r="S6" s="62" t="str">
        <x:v>None</x:v>
      </x:c>
      <x:c r="T6" s="64" t="n">
        <x:f>ROUND(IF(E6="",7.5,MIN(E6/100000,1)*15)+IF(F6="",7.5,(100-F6)/100*15)+(J6/5*20)+(L6/5*10)+((6-M6)/5*10)+((6-N6)/5*5)+(O6/5*10)+(P6/5*5)+(Q6/5*10)-IF(S6="High",20,IF(S6="Moderate",8,0)),0)</x:f>
        <x:v>91</x:v>
      </x:c>
      <x:c r="U6" s="62" t="str">
        <x:f>IF(T6&gt;=78,"A - Research first",IF(T6&gt;=68,"B - Validate",IF(T6&gt;=58,"C - Watch","D - Skip")))</x:f>
        <x:v>A - Research first</x:v>
      </x:c>
      <x:c r="V6" s="62" t="str">
        <x:v>RESEARCH FIRST</x:v>
      </x:c>
      <x:c r="W6" s="62" t="str">
        <x:v>Validate bulk uuid, uuid v4, guid generator, lowercase/uppercase formatting variants.</x:v>
      </x:c>
      <x:c r="X6" s="62" t="str">
        <x:v>https://www.uuidgenerator.net/ ; https://guidgenerator.com/ ; https://kinde.com/tools/online-uuid-generator/</x:v>
      </x:c>
      <x:c r="Y6" s="66" t="n">
        <x:v>46244</x:v>
      </x:c>
    </x:row>
    <x:row r="7">
      <x:c r="A7" s="62" t="n">
        <x:f>RANK.EQ(T7,$T$2:$T$23,0)</x:f>
        <x:v>9</x:v>
      </x:c>
      <x:c r="B7" s="62" t="str">
        <x:v>Media / Design</x:v>
      </x:c>
      <x:c r="C7" s="62" t="str">
        <x:v>aspect ratio calculator</x:v>
      </x:c>
      <x:c r="D7" s="62" t="str">
        <x:v>Aspect Ratio Calculator</x:v>
      </x:c>
      <x:c r="E7" s="63" t="n">
        <x:v>42000</x:v>
      </x:c>
      <x:c r="F7" s="64" t="n">
        <x:v>25</x:v>
      </x:c>
      <x:c r="G7" s="65" t="n">
        <x:v>0.85</x:v>
      </x:c>
      <x:c r="H7" s="62" t="str">
        <x:v>KDROI public estimate — validate in Ahrefs</x:v>
      </x:c>
      <x:c r="I7" s="62" t="str">
        <x:v>https://kdroi.io/analysis/aspect-ratio-calculator</x:v>
      </x:c>
      <x:c r="J7" s="62" t="n">
        <x:v>4</x:v>
      </x:c>
      <x:c r="K7" s="62" t="str">
        <x:v>Niche calculateaspectratio.com ranks alongside Digital Rebellion and CalculatorSoup. Exact-match tool domain is a useful weakness signal.</x:v>
      </x:c>
      <x:c r="L7" s="62" t="n">
        <x:v>5</x:v>
      </x:c>
      <x:c r="M7" s="62" t="n">
        <x:v>2</x:v>
      </x:c>
      <x:c r="N7" s="62" t="n">
        <x:v>1</x:v>
      </x:c>
      <x:c r="O7" s="62" t="n">
        <x:v>5</x:v>
      </x:c>
      <x:c r="P7" s="62" t="n">
        <x:v>3</x:v>
      </x:c>
      <x:c r="Q7" s="62" t="n">
        <x:v>5</x:v>
      </x:c>
      <x:c r="R7" s="62" t="str">
        <x:v>Low</x:v>
      </x:c>
      <x:c r="S7" s="62" t="str">
        <x:v>None</x:v>
      </x:c>
      <x:c r="T7" s="64" t="n">
        <x:f>ROUND(IF(E7="",7.5,MIN(E7/100000,1)*15)+IF(F7="",7.5,(100-F7)/100*15)+(J7/5*20)+(L7/5*10)+((6-M7)/5*10)+((6-N7)/5*5)+(O7/5*10)+(P7/5*5)+(Q7/5*10)-IF(S7="High",20,IF(S7="Moderate",8,0)),0)</x:f>
        <x:v>80</x:v>
      </x:c>
      <x:c r="U7" s="62" t="str">
        <x:f>IF(T7&gt;=78,"A - Research first",IF(T7&gt;=68,"B - Validate",IF(T7&gt;=58,"C - Watch","D - Skip")))</x:f>
        <x:v>A - Research first</x:v>
      </x:c>
      <x:c r="V7" s="62" t="str">
        <x:v>RESEARCH FIRST</x:v>
      </x:c>
      <x:c r="W7" s="62" t="str">
        <x:v>Validate long tails: aspect ratio calculator pixels, resize ratio calculator, 16:9 calculator.</x:v>
      </x:c>
      <x:c r="X7" s="62" t="str">
        <x:v>https://calculateaspectratio.com/ ; https://www.digitalrebellion.com/webapps/aspectcalc ; https://www.calculatorsoup.com/calculators/technology/aspect-ratio-calculator.php</x:v>
      </x:c>
      <x:c r="Y7" s="66" t="n">
        <x:v>46244</x:v>
      </x:c>
    </x:row>
    <x:row r="8">
      <x:c r="A8" s="62" t="n">
        <x:f>RANK.EQ(T8,$T$2:$T$23,0)</x:f>
        <x:v>12</x:v>
      </x:c>
      <x:c r="B8" s="62" t="str">
        <x:v>Word / Puzzle</x:v>
      </x:c>
      <x:c r="C8" s="62" t="str">
        <x:v>word unscrambler</x:v>
      </x:c>
      <x:c r="D8" s="62" t="str">
        <x:v>Word Unscrambler</x:v>
      </x:c>
      <x:c r="E8" s="63"/>
      <x:c r="F8" s="64"/>
      <x:c r="G8" s="65"/>
      <x:c r="H8" s="62" t="str">
        <x:v>Needs Ahrefs/Keyword Planner validation</x:v>
      </x:c>
      <x:c r="I8" s="62" t="str"/>
      <x:c r="J8" s="62" t="n">
        <x:v>4</x:v>
      </x:c>
      <x:c r="K8" s="62" t="str">
        <x:v>Current SERP sample includes niche unscramblerer.com plus other dedicated word-tool sites. Strong evergreen/repeat-use behavior, but head term may be competitive.</x:v>
      </x:c>
      <x:c r="L8" s="62" t="n">
        <x:v>5</x:v>
      </x:c>
      <x:c r="M8" s="62" t="n">
        <x:v>2</x:v>
      </x:c>
      <x:c r="N8" s="62" t="n">
        <x:v>2</x:v>
      </x:c>
      <x:c r="O8" s="62" t="n">
        <x:v>5</x:v>
      </x:c>
      <x:c r="P8" s="62" t="n">
        <x:v>3</x:v>
      </x:c>
      <x:c r="Q8" s="62" t="n">
        <x:v>5</x:v>
      </x:c>
      <x:c r="R8" s="62" t="str">
        <x:v>None</x:v>
      </x:c>
      <x:c r="S8" s="62" t="str">
        <x:v>None</x:v>
      </x:c>
      <x:c r="T8" s="64" t="n">
        <x:f>ROUND(IF(E8="",7.5,MIN(E8/100000,1)*15)+IF(F8="",7.5,(100-F8)/100*15)+(J8/5*20)+(L8/5*10)+((6-M8)/5*10)+((6-N8)/5*5)+(O8/5*10)+(P8/5*5)+(Q8/5*10)-IF(S8="High",20,IF(S8="Moderate",8,0)),0)</x:f>
        <x:v>76</x:v>
      </x:c>
      <x:c r="U8" s="62" t="str">
        <x:f>IF(T8&gt;=78,"A - Research first",IF(T8&gt;=68,"B - Validate",IF(T8&gt;=58,"C - Watch","D - Skip")))</x:f>
        <x:v>B - Validate</x:v>
      </x:c>
      <x:c r="V8" s="62" t="str">
        <x:v>VALIDATE</x:v>
      </x:c>
      <x:c r="W8" s="62" t="str">
        <x:v>Pull Ahrefs head + long tails: unscramble letters, word jumble solver, 7 letter unscrambler, words from letters.</x:v>
      </x:c>
      <x:c r="X8" s="62" t="str">
        <x:v>https://www.unscramblerer.com/</x:v>
      </x:c>
      <x:c r="Y8" s="66" t="n">
        <x:v>46244</x:v>
      </x:c>
    </x:row>
    <x:row r="9">
      <x:c r="A9" s="62" t="n">
        <x:f>RANK.EQ(T9,$T$2:$T$23,0)</x:f>
        <x:v>10</x:v>
      </x:c>
      <x:c r="B9" s="62" t="str">
        <x:v>Text Utilities</x:v>
      </x:c>
      <x:c r="C9" s="62" t="str">
        <x:v>character counter</x:v>
      </x:c>
      <x:c r="D9" s="62" t="str">
        <x:v>Character Counter</x:v>
      </x:c>
      <x:c r="E9" s="63"/>
      <x:c r="F9" s="64"/>
      <x:c r="G9" s="65"/>
      <x:c r="H9" s="62" t="str">
        <x:v>Needs Ahrefs/Keyword Planner validation</x:v>
      </x:c>
      <x:c r="I9" s="62" t="str"/>
      <x:c r="J9" s="62" t="n">
        <x:v>4</x:v>
      </x:c>
      <x:c r="K9" s="62" t="str">
        <x:v>SERP sample historically mixed niche counters with WordCounter/Grammarly. Very pure tool intent, easy build, but mature category.</x:v>
      </x:c>
      <x:c r="L9" s="62" t="n">
        <x:v>5</x:v>
      </x:c>
      <x:c r="M9" s="62" t="n">
        <x:v>1</x:v>
      </x:c>
      <x:c r="N9" s="62" t="n">
        <x:v>1</x:v>
      </x:c>
      <x:c r="O9" s="62" t="n">
        <x:v>5</x:v>
      </x:c>
      <x:c r="P9" s="62" t="n">
        <x:v>2</x:v>
      </x:c>
      <x:c r="Q9" s="62" t="n">
        <x:v>5</x:v>
      </x:c>
      <x:c r="R9" s="62" t="str">
        <x:v>None</x:v>
      </x:c>
      <x:c r="S9" s="62" t="str">
        <x:v>None</x:v>
      </x:c>
      <x:c r="T9" s="64" t="n">
        <x:f>ROUND(IF(E9="",7.5,MIN(E9/100000,1)*15)+IF(F9="",7.5,(100-F9)/100*15)+(J9/5*20)+(L9/5*10)+((6-M9)/5*10)+((6-N9)/5*5)+(O9/5*10)+(P9/5*5)+(Q9/5*10)-IF(S9="High",20,IF(S9="Moderate",8,0)),0)</x:f>
        <x:v>78</x:v>
      </x:c>
      <x:c r="U9" s="62" t="str">
        <x:f>IF(T9&gt;=78,"A - Research first",IF(T9&gt;=68,"B - Validate",IF(T9&gt;=58,"C - Watch","D - Skip")))</x:f>
        <x:v>A - Research first</x:v>
      </x:c>
      <x:c r="V9" s="62" t="str">
        <x:v>VALIDATE</x:v>
      </x:c>
      <x:c r="W9" s="62" t="str">
        <x:v>Check KD for character counter, letter counter, count characters without spaces, social character counter.</x:v>
      </x:c>
      <x:c r="X9" s="62" t="str">
        <x:v>https://wordcounter.net/character-count ; https://charactercounter.com/ ; https://www.charactercountonline.com/</x:v>
      </x:c>
      <x:c r="Y9" s="66" t="n">
        <x:v>46244</x:v>
      </x:c>
    </x:row>
    <x:row r="10">
      <x:c r="A10" s="62" t="n">
        <x:f>RANK.EQ(T10,$T$2:$T$23,0)</x:f>
        <x:v>2</x:v>
      </x:c>
      <x:c r="B10" s="62" t="str">
        <x:v>Developer Utilities</x:v>
      </x:c>
      <x:c r="C10" s="62" t="str">
        <x:v>base64 encoder</x:v>
      </x:c>
      <x:c r="D10" s="62" t="str">
        <x:v>Base64 Encoder</x:v>
      </x:c>
      <x:c r="E10" s="63" t="n">
        <x:v>85000</x:v>
      </x:c>
      <x:c r="F10" s="64" t="n">
        <x:v>18</x:v>
      </x:c>
      <x:c r="G10" s="65" t="n">
        <x:v>0.95</x:v>
      </x:c>
      <x:c r="H10" s="62" t="str">
        <x:v>KDROI public estimate — validate in Ahrefs</x:v>
      </x:c>
      <x:c r="I10" s="62" t="str">
        <x:v>https://kdroi.io/analysis/base64-encoder</x:v>
      </x:c>
      <x:c r="J10" s="62" t="n">
        <x:v>4</x:v>
      </x:c>
      <x:c r="K10" s="62" t="str">
        <x:v>SERP is utility-heavy with base64encode.org/base64encode.net and developer-tool pages rather than only major brands.</x:v>
      </x:c>
      <x:c r="L10" s="62" t="n">
        <x:v>5</x:v>
      </x:c>
      <x:c r="M10" s="62" t="n">
        <x:v>1</x:v>
      </x:c>
      <x:c r="N10" s="62" t="n">
        <x:v>1</x:v>
      </x:c>
      <x:c r="O10" s="62" t="n">
        <x:v>5</x:v>
      </x:c>
      <x:c r="P10" s="62" t="n">
        <x:v>3</x:v>
      </x:c>
      <x:c r="Q10" s="62" t="n">
        <x:v>5</x:v>
      </x:c>
      <x:c r="R10" s="62" t="str">
        <x:v>None</x:v>
      </x:c>
      <x:c r="S10" s="62" t="str">
        <x:v>None</x:v>
      </x:c>
      <x:c r="T10" s="64" t="n">
        <x:f>ROUND(IF(E10="",7.5,MIN(E10/100000,1)*15)+IF(F10="",7.5,(100-F10)/100*15)+(J10/5*20)+(L10/5*10)+((6-M10)/5*10)+((6-N10)/5*5)+(O10/5*10)+(P10/5*5)+(Q10/5*10)-IF(S10="High",20,IF(S10="Moderate",8,0)),0)</x:f>
        <x:v>89</x:v>
      </x:c>
      <x:c r="U10" s="62" t="str">
        <x:f>IF(T10&gt;=78,"A - Research first",IF(T10&gt;=68,"B - Validate",IF(T10&gt;=58,"C - Watch","D - Skip")))</x:f>
        <x:v>A - Research first</x:v>
      </x:c>
      <x:c r="V10" s="62" t="str">
        <x:v>RESEARCH FIRST</x:v>
      </x:c>
      <x:c r="W10" s="62" t="str">
        <x:v>Validate encode/decode split, base64 image encoder, URL-safe base64, file-to-base64 variants.</x:v>
      </x:c>
      <x:c r="X10" s="62" t="str">
        <x:v>https://www.base64encode.org/ ; https://www.base64encode.net/ ; https://jam.dev/utilities/base-64-encoder</x:v>
      </x:c>
      <x:c r="Y10" s="66" t="n">
        <x:v>46244</x:v>
      </x:c>
    </x:row>
    <x:row r="11">
      <x:c r="A11" s="62" t="n">
        <x:f>RANK.EQ(T11,$T$2:$T$23,0)</x:f>
        <x:v>2</x:v>
      </x:c>
      <x:c r="B11" s="62" t="str">
        <x:v>Developer Utilities</x:v>
      </x:c>
      <x:c r="C11" s="62" t="str">
        <x:v>json formatter</x:v>
      </x:c>
      <x:c r="D11" s="62" t="str">
        <x:v>JSON Formatter</x:v>
      </x:c>
      <x:c r="E11" s="63" t="n">
        <x:v>120000</x:v>
      </x:c>
      <x:c r="F11" s="64" t="n">
        <x:v>32</x:v>
      </x:c>
      <x:c r="G11" s="65" t="n">
        <x:v>2.4</x:v>
      </x:c>
      <x:c r="H11" s="62" t="str">
        <x:v>KDROI public estimate — validate in Ahrefs</x:v>
      </x:c>
      <x:c r="I11" s="62" t="str">
        <x:v>https://kdroi.io/analysis/json-formatter</x:v>
      </x:c>
      <x:c r="J11" s="62" t="n">
        <x:v>4</x:v>
      </x:c>
      <x:c r="K11" s="62" t="str">
        <x:v>Many dedicated utility sites rank. Competition is higher by public KD, but CPC/demand and repeat use are attractive.</x:v>
      </x:c>
      <x:c r="L11" s="62" t="n">
        <x:v>5</x:v>
      </x:c>
      <x:c r="M11" s="62" t="n">
        <x:v>1</x:v>
      </x:c>
      <x:c r="N11" s="62" t="n">
        <x:v>2</x:v>
      </x:c>
      <x:c r="O11" s="62" t="n">
        <x:v>5</x:v>
      </x:c>
      <x:c r="P11" s="62" t="n">
        <x:v>4</x:v>
      </x:c>
      <x:c r="Q11" s="62" t="n">
        <x:v>5</x:v>
      </x:c>
      <x:c r="R11" s="62" t="str">
        <x:v>None</x:v>
      </x:c>
      <x:c r="S11" s="62" t="str">
        <x:v>None</x:v>
      </x:c>
      <x:c r="T11" s="64" t="n">
        <x:f>ROUND(IF(E11="",7.5,MIN(E11/100000,1)*15)+IF(F11="",7.5,(100-F11)/100*15)+(J11/5*20)+(L11/5*10)+((6-M11)/5*10)+((6-N11)/5*5)+(O11/5*10)+(P11/5*5)+(Q11/5*10)-IF(S11="High",20,IF(S11="Moderate",8,0)),0)</x:f>
        <x:v>89</x:v>
      </x:c>
      <x:c r="U11" s="62" t="str">
        <x:f>IF(T11&gt;=78,"A - Research first",IF(T11&gt;=68,"B - Validate",IF(T11&gt;=58,"C - Watch","D - Skip")))</x:f>
        <x:v>A - Research first</x:v>
      </x:c>
      <x:c r="V11" s="62" t="str">
        <x:v>VALIDATE</x:v>
      </x:c>
      <x:c r="W11" s="62" t="str">
        <x:v>Use Ahrefs to find low-KD children: JSON beautifier, JSON pretty print, minify JSON, validate JSON.</x:v>
      </x:c>
      <x:c r="X11" s="62" t="str">
        <x:v>https://jsonformatter.curiousconcept.com/ ; https://jsonformatter.org/ ; https://json-indent.com/</x:v>
      </x:c>
      <x:c r="Y11" s="66" t="n">
        <x:v>46244</x:v>
      </x:c>
    </x:row>
    <x:row r="12">
      <x:c r="A12" s="62" t="n">
        <x:f>RANK.EQ(T12,$T$2:$T$23,0)</x:f>
        <x:v>6</x:v>
      </x:c>
      <x:c r="B12" s="62" t="str">
        <x:v>Developer Utilities</x:v>
      </x:c>
      <x:c r="C12" s="62" t="str">
        <x:v>sql formatter</x:v>
      </x:c>
      <x:c r="D12" s="62" t="str">
        <x:v>SQL Formatter</x:v>
      </x:c>
      <x:c r="E12" s="63" t="n">
        <x:v>55000</x:v>
      </x:c>
      <x:c r="F12" s="64" t="n">
        <x:v>28</x:v>
      </x:c>
      <x:c r="G12" s="65" t="n">
        <x:v>1.65</x:v>
      </x:c>
      <x:c r="H12" s="62" t="str">
        <x:v>KDROI public estimate — validate in Ahrefs</x:v>
      </x:c>
      <x:c r="I12" s="62" t="str">
        <x:v>https://kdroi.io/analysis/sql-formatter</x:v>
      </x:c>
      <x:c r="J12" s="62" t="n">
        <x:v>4</x:v>
      </x:c>
      <x:c r="K12" s="62" t="str">
        <x:v>Mixed SERP with dedicated formatters and established developer tools; clear intent and inexpensive build.</x:v>
      </x:c>
      <x:c r="L12" s="62" t="n">
        <x:v>5</x:v>
      </x:c>
      <x:c r="M12" s="62" t="n">
        <x:v>1</x:v>
      </x:c>
      <x:c r="N12" s="62" t="n">
        <x:v>2</x:v>
      </x:c>
      <x:c r="O12" s="62" t="n">
        <x:v>5</x:v>
      </x:c>
      <x:c r="P12" s="62" t="n">
        <x:v>4</x:v>
      </x:c>
      <x:c r="Q12" s="62" t="n">
        <x:v>5</x:v>
      </x:c>
      <x:c r="R12" s="62" t="str">
        <x:v>None</x:v>
      </x:c>
      <x:c r="S12" s="62" t="str">
        <x:v>None</x:v>
      </x:c>
      <x:c r="T12" s="64" t="n">
        <x:f>ROUND(IF(E12="",7.5,MIN(E12/100000,1)*15)+IF(F12="",7.5,(100-F12)/100*15)+(J12/5*20)+(L12/5*10)+((6-M12)/5*10)+((6-N12)/5*5)+(O12/5*10)+(P12/5*5)+(Q12/5*10)-IF(S12="High",20,IF(S12="Moderate",8,0)),0)</x:f>
        <x:v>83</x:v>
      </x:c>
      <x:c r="U12" s="62" t="str">
        <x:f>IF(T12&gt;=78,"A - Research first",IF(T12&gt;=68,"B - Validate",IF(T12&gt;=58,"C - Watch","D - Skip")))</x:f>
        <x:v>A - Research first</x:v>
      </x:c>
      <x:c r="V12" s="62" t="str">
        <x:v>VALIDATE</x:v>
      </x:c>
      <x:c r="W12" s="62" t="str">
        <x:v>Check dialect-specific modifiers: MySQL formatter, PostgreSQL formatter, SQL beautifier.</x:v>
      </x:c>
      <x:c r="X12" s="62" t="str">
        <x:v>https://www.dpriver.com/pp/sqlformat.htm ; https://codebeautify.org/sqlformatter ; https://sqlformat.org/</x:v>
      </x:c>
      <x:c r="Y12" s="66" t="n">
        <x:v>46244</x:v>
      </x:c>
    </x:row>
    <x:row r="13">
      <x:c r="A13" s="62" t="n">
        <x:f>RANK.EQ(T13,$T$2:$T$23,0)</x:f>
        <x:v>13</x:v>
      </x:c>
      <x:c r="B13" s="62" t="str">
        <x:v>Developer Utilities</x:v>
      </x:c>
      <x:c r="C13" s="62" t="str">
        <x:v>slug generator</x:v>
      </x:c>
      <x:c r="D13" s="62" t="str">
        <x:v>Slug Generator</x:v>
      </x:c>
      <x:c r="E13" s="63" t="n">
        <x:v>22000</x:v>
      </x:c>
      <x:c r="F13" s="64" t="n">
        <x:v>18</x:v>
      </x:c>
      <x:c r="G13" s="65" t="n">
        <x:v>0.65</x:v>
      </x:c>
      <x:c r="H13" s="62" t="str">
        <x:v>KDROI public estimate — validate in Ahrefs</x:v>
      </x:c>
      <x:c r="I13" s="62" t="str">
        <x:v>https://kdroi.io/analysis/slug-generator</x:v>
      </x:c>
      <x:c r="J13" s="62" t="n">
        <x:v>3</x:v>
      </x:c>
      <x:c r="K13" s="62" t="str">
        <x:v>Public metrics look attractive; current top-10 SERP still needs a dedicated manual review before build.</x:v>
      </x:c>
      <x:c r="L13" s="62" t="n">
        <x:v>5</x:v>
      </x:c>
      <x:c r="M13" s="62" t="n">
        <x:v>1</x:v>
      </x:c>
      <x:c r="N13" s="62" t="n">
        <x:v>1</x:v>
      </x:c>
      <x:c r="O13" s="62" t="n">
        <x:v>5</x:v>
      </x:c>
      <x:c r="P13" s="62" t="n">
        <x:v>2</x:v>
      </x:c>
      <x:c r="Q13" s="62" t="n">
        <x:v>5</x:v>
      </x:c>
      <x:c r="R13" s="62" t="str">
        <x:v>None</x:v>
      </x:c>
      <x:c r="S13" s="62" t="str">
        <x:v>None</x:v>
      </x:c>
      <x:c r="T13" s="64" t="n">
        <x:f>ROUND(IF(E13="",7.5,MIN(E13/100000,1)*15)+IF(F13="",7.5,(100-F13)/100*15)+(J13/5*20)+(L13/5*10)+((6-M13)/5*10)+((6-N13)/5*5)+(O13/5*10)+(P13/5*5)+(Q13/5*10)-IF(S13="High",20,IF(S13="Moderate",8,0)),0)</x:f>
        <x:v>75</x:v>
      </x:c>
      <x:c r="U13" s="62" t="str">
        <x:f>IF(T13&gt;=78,"A - Research first",IF(T13&gt;=68,"B - Validate",IF(T13&gt;=58,"C - Watch","D - Skip")))</x:f>
        <x:v>B - Validate</x:v>
      </x:c>
      <x:c r="V13" s="62" t="str">
        <x:v>VALIDATE</x:v>
      </x:c>
      <x:c r="W13" s="62" t="str">
        <x:v>Do a full Ahrefs SERP check; test URL slug generator, SEO slug generator, text to slug.</x:v>
      </x:c>
      <x:c r="X13" s="62" t="str"/>
      <x:c r="Y13" s="66" t="n">
        <x:v>46244</x:v>
      </x:c>
    </x:row>
    <x:row r="14">
      <x:c r="A14" s="62" t="n">
        <x:f>RANK.EQ(T14,$T$2:$T$23,0)</x:f>
        <x:v>13</x:v>
      </x:c>
      <x:c r="B14" s="62" t="str">
        <x:v>Color / Developer</x:v>
      </x:c>
      <x:c r="C14" s="62" t="str">
        <x:v>hex to rgb converter</x:v>
      </x:c>
      <x:c r="D14" s="62" t="str">
        <x:v>HEX to RGB Converter</x:v>
      </x:c>
      <x:c r="E14" s="63" t="n">
        <x:v>55000</x:v>
      </x:c>
      <x:c r="F14" s="64" t="n">
        <x:v>20</x:v>
      </x:c>
      <x:c r="G14" s="65" t="n">
        <x:v>0.75</x:v>
      </x:c>
      <x:c r="H14" s="62" t="str">
        <x:v>KDROI public estimate — validate in Ahrefs</x:v>
      </x:c>
      <x:c r="I14" s="62" t="str">
        <x:v>https://kdroi.io/analysis/hex-to-rgb-converter</x:v>
      </x:c>
      <x:c r="J14" s="62" t="n">
        <x:v>3</x:v>
      </x:c>
      <x:c r="K14" s="62" t="str">
        <x:v>SERP is mixed between specialist color sites, RapidTables and developer tools. Good cluster play, less compelling as a solo site.</x:v>
      </x:c>
      <x:c r="L14" s="62" t="n">
        <x:v>5</x:v>
      </x:c>
      <x:c r="M14" s="62" t="n">
        <x:v>3</x:v>
      </x:c>
      <x:c r="N14" s="62" t="n">
        <x:v>1</x:v>
      </x:c>
      <x:c r="O14" s="62" t="n">
        <x:v>5</x:v>
      </x:c>
      <x:c r="P14" s="62" t="n">
        <x:v>2</x:v>
      </x:c>
      <x:c r="Q14" s="62" t="n">
        <x:v>5</x:v>
      </x:c>
      <x:c r="R14" s="62" t="str">
        <x:v>Low</x:v>
      </x:c>
      <x:c r="S14" s="62" t="str">
        <x:v>None</x:v>
      </x:c>
      <x:c r="T14" s="64" t="n">
        <x:f>ROUND(IF(E14="",7.5,MIN(E14/100000,1)*15)+IF(F14="",7.5,(100-F14)/100*15)+(J14/5*20)+(L14/5*10)+((6-M14)/5*10)+((6-N14)/5*5)+(O14/5*10)+(P14/5*5)+(Q14/5*10)-IF(S14="High",20,IF(S14="Moderate",8,0)),0)</x:f>
        <x:v>75</x:v>
      </x:c>
      <x:c r="U14" s="62" t="str">
        <x:f>IF(T14&gt;=78,"A - Research first",IF(T14&gt;=68,"B - Validate",IF(T14&gt;=58,"C - Watch","D - Skip")))</x:f>
        <x:v>B - Validate</x:v>
      </x:c>
      <x:c r="V14" s="62" t="str">
        <x:v>CLUSTER ONLY</x:v>
      </x:c>
      <x:c r="W14" s="62" t="str">
        <x:v>Validate RGB-to-HEX, HSL, CMYK, contrast checker and color conversion cluster together.</x:v>
      </x:c>
      <x:c r="X14" s="62" t="str">
        <x:v>https://htmlcolorcodes.com/hex-to-rgb/ ; https://www.rapidtables.com/convert/color/hex-to-rgb.html ; https://openreplay.com/tools/hex-to-rgb/</x:v>
      </x:c>
      <x:c r="Y14" s="66" t="n">
        <x:v>46244</x:v>
      </x:c>
    </x:row>
    <x:row r="15">
      <x:c r="A15" s="62" t="n">
        <x:f>RANK.EQ(T15,$T$2:$T$23,0)</x:f>
        <x:v>10</x:v>
      </x:c>
      <x:c r="B15" s="62" t="str">
        <x:v>Property / Landscaping</x:v>
      </x:c>
      <x:c r="C15" s="62" t="str">
        <x:v>mulch calculator</x:v>
      </x:c>
      <x:c r="D15" s="62" t="str">
        <x:v>Mulch Calculator</x:v>
      </x:c>
      <x:c r="E15" s="63"/>
      <x:c r="F15" s="64"/>
      <x:c r="G15" s="65"/>
      <x:c r="H15" s="62" t="str">
        <x:v>Needs Ahrefs/Keyword Planner validation</x:v>
      </x:c>
      <x:c r="I15" s="62" t="str"/>
      <x:c r="J15" s="62" t="n">
        <x:v>4</x:v>
      </x:c>
      <x:c r="K15" s="62" t="str">
        <x:v>SERP has Calculator.net plus landscaping-specific calculator sites and merchants. Strong PR-adjacent cluster potential and commercial relevance.</x:v>
      </x:c>
      <x:c r="L15" s="62" t="n">
        <x:v>5</x:v>
      </x:c>
      <x:c r="M15" s="62" t="n">
        <x:v>2</x:v>
      </x:c>
      <x:c r="N15" s="62" t="n">
        <x:v>1</x:v>
      </x:c>
      <x:c r="O15" s="62" t="n">
        <x:v>5</x:v>
      </x:c>
      <x:c r="P15" s="62" t="n">
        <x:v>4</x:v>
      </x:c>
      <x:c r="Q15" s="62" t="n">
        <x:v>5</x:v>
      </x:c>
      <x:c r="R15" s="62" t="str">
        <x:v>High</x:v>
      </x:c>
      <x:c r="S15" s="62" t="str">
        <x:v>None</x:v>
      </x:c>
      <x:c r="T15" s="64" t="n">
        <x:f>ROUND(IF(E15="",7.5,MIN(E15/100000,1)*15)+IF(F15="",7.5,(100-F15)/100*15)+(J15/5*20)+(L15/5*10)+((6-M15)/5*10)+((6-N15)/5*5)+(O15/5*10)+(P15/5*5)+(Q15/5*10)-IF(S15="High",20,IF(S15="Moderate",8,0)),0)</x:f>
        <x:v>78</x:v>
      </x:c>
      <x:c r="U15" s="62" t="str">
        <x:f>IF(T15&gt;=78,"A - Research first",IF(T15&gt;=68,"B - Validate",IF(T15&gt;=58,"C - Watch","D - Skip")))</x:f>
        <x:v>A - Research first</x:v>
      </x:c>
      <x:c r="V15" s="62" t="str">
        <x:v>RESEARCH FIRST</x:v>
      </x:c>
      <x:c r="W15" s="62" t="str">
        <x:v>Pull KD/volume for mulch calculator, mulch cubic yards, how much mulch do I need, mulch bags calculator.</x:v>
      </x:c>
      <x:c r="X15" s="62" t="str">
        <x:v>https://www.calculator.net/mulch-calculator.html ; https://www.landscapecalculator.com/calculators/mulch ; https://mulchcenter.com/yardage-calculator/</x:v>
      </x:c>
      <x:c r="Y15" s="66" t="n">
        <x:v>46244</x:v>
      </x:c>
    </x:row>
    <x:row r="16">
      <x:c r="A16" s="62" t="n">
        <x:f>RANK.EQ(T16,$T$2:$T$23,0)</x:f>
        <x:v>15</x:v>
      </x:c>
      <x:c r="B16" s="62" t="str">
        <x:v>Property / Fencing</x:v>
      </x:c>
      <x:c r="C16" s="62" t="str">
        <x:v>fence calculator</x:v>
      </x:c>
      <x:c r="D16" s="62" t="str">
        <x:v>Fence Calculator</x:v>
      </x:c>
      <x:c r="E16" s="63"/>
      <x:c r="F16" s="64"/>
      <x:c r="G16" s="65"/>
      <x:c r="H16" s="62" t="str">
        <x:v>Needs Ahrefs/Keyword Planner validation</x:v>
      </x:c>
      <x:c r="I16" s="62" t="str"/>
      <x:c r="J16" s="62" t="n">
        <x:v>3</x:v>
      </x:c>
      <x:c r="K16" s="62" t="str">
        <x:v>SERP includes Home Depot plus fencing merchants and Omni Calculator. Commercial intent is useful; head term may be tougher, modifiers may be excellent.</x:v>
      </x:c>
      <x:c r="L16" s="62" t="n">
        <x:v>5</x:v>
      </x:c>
      <x:c r="M16" s="62" t="n">
        <x:v>2</x:v>
      </x:c>
      <x:c r="N16" s="62" t="n">
        <x:v>2</x:v>
      </x:c>
      <x:c r="O16" s="62" t="n">
        <x:v>5</x:v>
      </x:c>
      <x:c r="P16" s="62" t="n">
        <x:v>5</x:v>
      </x:c>
      <x:c r="Q16" s="62" t="n">
        <x:v>5</x:v>
      </x:c>
      <x:c r="R16" s="62" t="str">
        <x:v>High</x:v>
      </x:c>
      <x:c r="S16" s="62" t="str">
        <x:v>None</x:v>
      </x:c>
      <x:c r="T16" s="64" t="n">
        <x:f>ROUND(IF(E16="",7.5,MIN(E16/100000,1)*15)+IF(F16="",7.5,(100-F16)/100*15)+(J16/5*20)+(L16/5*10)+((6-M16)/5*10)+((6-N16)/5*5)+(O16/5*10)+(P16/5*5)+(Q16/5*10)-IF(S16="High",20,IF(S16="Moderate",8,0)),0)</x:f>
        <x:v>74</x:v>
      </x:c>
      <x:c r="U16" s="62" t="str">
        <x:f>IF(T16&gt;=78,"A - Research first",IF(T16&gt;=68,"B - Validate",IF(T16&gt;=58,"C - Watch","D - Skip")))</x:f>
        <x:v>B - Validate</x:v>
      </x:c>
      <x:c r="V16" s="62" t="str">
        <x:v>VALIDATE LONG-TAIL</x:v>
      </x:c>
      <x:c r="W16" s="62" t="str">
        <x:v>Look for fence post spacing calculator, fence material calculator, picket spacing calculator, fence panel calculator.</x:v>
      </x:c>
      <x:c r="X16" s="62" t="str">
        <x:v>https://www.homedepot.com/project-seller/fencing-calculator ; https://www.omnicalculator.com/construction/fence</x:v>
      </x:c>
      <x:c r="Y16" s="66" t="n">
        <x:v>46244</x:v>
      </x:c>
    </x:row>
    <x:row r="17">
      <x:c r="A17" s="62" t="n">
        <x:f>RANK.EQ(T17,$T$2:$T$23,0)</x:f>
        <x:v>20</x:v>
      </x:c>
      <x:c r="B17" s="62" t="str">
        <x:v>Property / Measurement</x:v>
      </x:c>
      <x:c r="C17" s="62" t="str">
        <x:v>square footage calculator</x:v>
      </x:c>
      <x:c r="D17" s="62" t="str">
        <x:v>Square Footage Calculator</x:v>
      </x:c>
      <x:c r="E17" s="63"/>
      <x:c r="F17" s="64"/>
      <x:c r="G17" s="65"/>
      <x:c r="H17" s="62" t="str">
        <x:v>Needs Ahrefs/Keyword Planner validation</x:v>
      </x:c>
      <x:c r="I17" s="62" t="str"/>
      <x:c r="J17" s="62" t="n">
        <x:v>2</x:v>
      </x:c>
      <x:c r="K17" s="62" t="str">
        <x:v>SERP is dominated by large calculator sites; huge utility but likely difficult head term. Property-specific variants may be better.</x:v>
      </x:c>
      <x:c r="L17" s="62" t="n">
        <x:v>5</x:v>
      </x:c>
      <x:c r="M17" s="62" t="n">
        <x:v>4</x:v>
      </x:c>
      <x:c r="N17" s="62" t="n">
        <x:v>1</x:v>
      </x:c>
      <x:c r="O17" s="62" t="n">
        <x:v>5</x:v>
      </x:c>
      <x:c r="P17" s="62" t="n">
        <x:v>4</x:v>
      </x:c>
      <x:c r="Q17" s="62" t="n">
        <x:v>5</x:v>
      </x:c>
      <x:c r="R17" s="62" t="str">
        <x:v>High</x:v>
      </x:c>
      <x:c r="S17" s="62" t="str">
        <x:v>None</x:v>
      </x:c>
      <x:c r="T17" s="64" t="n">
        <x:f>ROUND(IF(E17="",7.5,MIN(E17/100000,1)*15)+IF(F17="",7.5,(100-F17)/100*15)+(J17/5*20)+(L17/5*10)+((6-M17)/5*10)+((6-N17)/5*5)+(O17/5*10)+(P17/5*5)+(Q17/5*10)-IF(S17="High",20,IF(S17="Moderate",8,0)),0)</x:f>
        <x:v>66</x:v>
      </x:c>
      <x:c r="U17" s="62" t="str">
        <x:f>IF(T17&gt;=78,"A - Research first",IF(T17&gt;=68,"B - Validate",IF(T17&gt;=58,"C - Watch","D - Skip")))</x:f>
        <x:v>C - Watch</x:v>
      </x:c>
      <x:c r="V17" s="62" t="str">
        <x:v>LONG-TAIL ONLY</x:v>
      </x:c>
      <x:c r="W17" s="62" t="str">
        <x:v>Research irregular room square footage, flooring square feet, wall square footage, mulch bed square footage.</x:v>
      </x:c>
      <x:c r="X17" s="62" t="str">
        <x:v>https://www.calculatorsoup.com/calculators/construction/square-footage-calculator.php ; https://www.calculator.net/square-footage-calculator.html</x:v>
      </x:c>
      <x:c r="Y17" s="66" t="n">
        <x:v>46244</x:v>
      </x:c>
    </x:row>
    <x:row r="18">
      <x:c r="A18" s="62" t="n">
        <x:f>RANK.EQ(T18,$T$2:$T$23,0)</x:f>
        <x:v>17</x:v>
      </x:c>
      <x:c r="B18" s="62" t="str">
        <x:v>Calculators</x:v>
      </x:c>
      <x:c r="C18" s="62" t="str">
        <x:v>age calculator</x:v>
      </x:c>
      <x:c r="D18" s="62" t="str">
        <x:v>Age Calculator</x:v>
      </x:c>
      <x:c r="E18" s="63" t="n">
        <x:v>220000</x:v>
      </x:c>
      <x:c r="F18" s="64" t="n">
        <x:v>32</x:v>
      </x:c>
      <x:c r="G18" s="65" t="n">
        <x:v>0.65</x:v>
      </x:c>
      <x:c r="H18" s="62" t="str">
        <x:v>KDROI public estimate — validate in Ahrefs</x:v>
      </x:c>
      <x:c r="I18" s="62" t="str">
        <x:v>https://kdroi.io/analysis/age-calculator</x:v>
      </x:c>
      <x:c r="J18" s="62" t="n">
        <x:v>2</x:v>
      </x:c>
      <x:c r="K18" s="62" t="str">
        <x:v>Large calculator incumbents dominate. Also substantial zero-click/AI-answer risk.</x:v>
      </x:c>
      <x:c r="L18" s="62" t="n">
        <x:v>5</x:v>
      </x:c>
      <x:c r="M18" s="62" t="n">
        <x:v>5</x:v>
      </x:c>
      <x:c r="N18" s="62" t="n">
        <x:v>1</x:v>
      </x:c>
      <x:c r="O18" s="62" t="n">
        <x:v>5</x:v>
      </x:c>
      <x:c r="P18" s="62" t="n">
        <x:v>2</x:v>
      </x:c>
      <x:c r="Q18" s="62" t="n">
        <x:v>4</x:v>
      </x:c>
      <x:c r="R18" s="62" t="str">
        <x:v>None</x:v>
      </x:c>
      <x:c r="S18" s="62" t="str">
        <x:v>None</x:v>
      </x:c>
      <x:c r="T18" s="64" t="n">
        <x:f>ROUND(IF(E18="",7.5,MIN(E18/100000,1)*15)+IF(F18="",7.5,(100-F18)/100*15)+(J18/5*20)+(L18/5*10)+((6-M18)/5*10)+((6-N18)/5*5)+(O18/5*10)+(P18/5*5)+(Q18/5*10)-IF(S18="High",20,IF(S18="Moderate",8,0)),0)</x:f>
        <x:v>70</x:v>
      </x:c>
      <x:c r="U18" s="62" t="str">
        <x:f>IF(T18&gt;=78,"A - Research first",IF(T18&gt;=68,"B - Validate",IF(T18&gt;=58,"C - Watch","D - Skip")))</x:f>
        <x:v>B - Validate</x:v>
      </x:c>
      <x:c r="V18" s="62" t="str">
        <x:v>WATCH / NICHE VARIANTS</x:v>
      </x:c>
      <x:c r="W18" s="62" t="str">
        <x:v>Only pursue a differentiated sub-use: age on date, exact age in months/days, school-age calculator, etc.</x:v>
      </x:c>
      <x:c r="X18" s="62" t="str">
        <x:v>https://www.calculator.net/age-calculator.html ; https://www.calculatestuff.com/health/age-calculator</x:v>
      </x:c>
      <x:c r="Y18" s="66" t="n">
        <x:v>46244</x:v>
      </x:c>
    </x:row>
    <x:row r="19">
      <x:c r="A19" s="62" t="n">
        <x:f>RANK.EQ(T19,$T$2:$T$23,0)</x:f>
        <x:v>17</x:v>
      </x:c>
      <x:c r="B19" s="62" t="str">
        <x:v>Calculators</x:v>
      </x:c>
      <x:c r="C19" s="62" t="str">
        <x:v>date calculator</x:v>
      </x:c>
      <x:c r="D19" s="62" t="str">
        <x:v>Date Calculator</x:v>
      </x:c>
      <x:c r="E19" s="63" t="n">
        <x:v>95000</x:v>
      </x:c>
      <x:c r="F19" s="64" t="n">
        <x:v>28</x:v>
      </x:c>
      <x:c r="G19" s="65" t="n">
        <x:v>0.72</x:v>
      </x:c>
      <x:c r="H19" s="62" t="str">
        <x:v>KDROI public estimate — validate in Ahrefs</x:v>
      </x:c>
      <x:c r="I19" s="62" t="str">
        <x:v>https://kdroi.io/analysis/date-calculator</x:v>
      </x:c>
      <x:c r="J19" s="62" t="n">
        <x:v>2</x:v>
      </x:c>
      <x:c r="K19" s="62" t="str">
        <x:v>Timeanddate and Calculator.net are strong incumbents; many calculations can be answered directly by search/AI.</x:v>
      </x:c>
      <x:c r="L19" s="62" t="n">
        <x:v>5</x:v>
      </x:c>
      <x:c r="M19" s="62" t="n">
        <x:v>5</x:v>
      </x:c>
      <x:c r="N19" s="62" t="n">
        <x:v>1</x:v>
      </x:c>
      <x:c r="O19" s="62" t="n">
        <x:v>5</x:v>
      </x:c>
      <x:c r="P19" s="62" t="n">
        <x:v>2</x:v>
      </x:c>
      <x:c r="Q19" s="62" t="n">
        <x:v>4</x:v>
      </x:c>
      <x:c r="R19" s="62" t="str">
        <x:v>None</x:v>
      </x:c>
      <x:c r="S19" s="62" t="str">
        <x:v>None</x:v>
      </x:c>
      <x:c r="T19" s="64" t="n">
        <x:f>ROUND(IF(E19="",7.5,MIN(E19/100000,1)*15)+IF(F19="",7.5,(100-F19)/100*15)+(J19/5*20)+(L19/5*10)+((6-M19)/5*10)+((6-N19)/5*5)+(O19/5*10)+(P19/5*5)+(Q19/5*10)-IF(S19="High",20,IF(S19="Moderate",8,0)),0)</x:f>
        <x:v>70</x:v>
      </x:c>
      <x:c r="U19" s="62" t="str">
        <x:f>IF(T19&gt;=78,"A - Research first",IF(T19&gt;=68,"B - Validate",IF(T19&gt;=58,"C - Watch","D - Skip")))</x:f>
        <x:v>B - Validate</x:v>
      </x:c>
      <x:c r="V19" s="62" t="str">
        <x:v>WATCH / NICHE VARIANTS</x:v>
      </x:c>
      <x:c r="W19" s="62" t="str">
        <x:v>Research business-day calculator, days until date, date + days calculator modifiers.</x:v>
      </x:c>
      <x:c r="X19" s="62" t="str">
        <x:v>https://www.timeanddate.com/date/dateadd.html ; https://www.calculator.net/date-calculator.html ; https://www.shiftflow.app/free-tools/free-date-calculator</x:v>
      </x:c>
      <x:c r="Y19" s="66" t="n">
        <x:v>46244</x:v>
      </x:c>
    </x:row>
    <x:row r="20">
      <x:c r="A20" s="62" t="n">
        <x:f>RANK.EQ(T20,$T$2:$T$23,0)</x:f>
        <x:v>17</x:v>
      </x:c>
      <x:c r="B20" s="62" t="str">
        <x:v>Converters</x:v>
      </x:c>
      <x:c r="C20" s="62" t="str">
        <x:v>time zone converter</x:v>
      </x:c>
      <x:c r="D20" s="62" t="str">
        <x:v>Time Zone Converter</x:v>
      </x:c>
      <x:c r="E20" s="63" t="n">
        <x:v>180000</x:v>
      </x:c>
      <x:c r="F20" s="64" t="n">
        <x:v>35</x:v>
      </x:c>
      <x:c r="G20" s="65" t="n">
        <x:v>1.25</x:v>
      </x:c>
      <x:c r="H20" s="62" t="str">
        <x:v>KDROI public estimate — validate in Ahrefs</x:v>
      </x:c>
      <x:c r="I20" s="62" t="str">
        <x:v>https://kdroi.io/analysis/time-zone-converter</x:v>
      </x:c>
      <x:c r="J20" s="62" t="n">
        <x:v>2</x:v>
      </x:c>
      <x:c r="K20" s="62" t="str">
        <x:v>Strong incumbents: TimeandDate, WorldTimeBuddy, SavvyTime, etc.; high zero-click/native-answer risk.</x:v>
      </x:c>
      <x:c r="L20" s="62" t="n">
        <x:v>5</x:v>
      </x:c>
      <x:c r="M20" s="62" t="n">
        <x:v>5</x:v>
      </x:c>
      <x:c r="N20" s="62" t="n">
        <x:v>2</x:v>
      </x:c>
      <x:c r="O20" s="62" t="n">
        <x:v>5</x:v>
      </x:c>
      <x:c r="P20" s="62" t="n">
        <x:v>3</x:v>
      </x:c>
      <x:c r="Q20" s="62" t="n">
        <x:v>4</x:v>
      </x:c>
      <x:c r="R20" s="62" t="str">
        <x:v>None</x:v>
      </x:c>
      <x:c r="S20" s="62" t="str">
        <x:v>None</x:v>
      </x:c>
      <x:c r="T20" s="64" t="n">
        <x:f>ROUND(IF(E20="",7.5,MIN(E20/100000,1)*15)+IF(F20="",7.5,(100-F20)/100*15)+(J20/5*20)+(L20/5*10)+((6-M20)/5*10)+((6-N20)/5*5)+(O20/5*10)+(P20/5*5)+(Q20/5*10)-IF(S20="High",20,IF(S20="Moderate",8,0)),0)</x:f>
        <x:v>70</x:v>
      </x:c>
      <x:c r="U20" s="62" t="str">
        <x:f>IF(T20&gt;=78,"A - Research first",IF(T20&gt;=68,"B - Validate",IF(T20&gt;=58,"C - Watch","D - Skip")))</x:f>
        <x:v>B - Validate</x:v>
      </x:c>
      <x:c r="V20" s="62" t="str">
        <x:v>SKIP HEAD TERM</x:v>
      </x:c>
      <x:c r="W20" s="62" t="str">
        <x:v>Only revisit if a niche workflow angle appears (team overlap, recurring meeting converter, travel itinerary timezone tool).</x:v>
      </x:c>
      <x:c r="X20" s="62" t="str">
        <x:v>https://www.timeanddate.com/worldclock/converter.html ; https://www.worldtimebuddy.com/ ; https://savvytime.com/converter</x:v>
      </x:c>
      <x:c r="Y20" s="66" t="n">
        <x:v>46244</x:v>
      </x:c>
    </x:row>
    <x:row r="21">
      <x:c r="A21" s="62" t="n">
        <x:f>RANK.EQ(T21,$T$2:$T$23,0)</x:f>
        <x:v>20</x:v>
      </x:c>
      <x:c r="B21" s="62" t="str">
        <x:v>Generators</x:v>
      </x:c>
      <x:c r="C21" s="62" t="str">
        <x:v>password generator</x:v>
      </x:c>
      <x:c r="D21" s="62" t="str">
        <x:v>Password Generator</x:v>
      </x:c>
      <x:c r="E21" s="63" t="n">
        <x:v>240000</x:v>
      </x:c>
      <x:c r="F21" s="64" t="n">
        <x:v>35</x:v>
      </x:c>
      <x:c r="G21" s="65" t="n">
        <x:v>1.8</x:v>
      </x:c>
      <x:c r="H21" s="62" t="str">
        <x:v>KDROI public estimate — validate in Ahrefs</x:v>
      </x:c>
      <x:c r="I21" s="62" t="str">
        <x:v>https://kdroi.io/analysis/password-generator</x:v>
      </x:c>
      <x:c r="J21" s="62" t="n">
        <x:v>1</x:v>
      </x:c>
      <x:c r="K21" s="62" t="str">
        <x:v>SERP is dominated by security brands such as LastPass, 1Password, Avast/Norton/RoboForm. Trust barrier is unusually high.</x:v>
      </x:c>
      <x:c r="L21" s="62" t="n">
        <x:v>5</x:v>
      </x:c>
      <x:c r="M21" s="62" t="n">
        <x:v>2</x:v>
      </x:c>
      <x:c r="N21" s="62" t="n">
        <x:v>1</x:v>
      </x:c>
      <x:c r="O21" s="62" t="n">
        <x:v>5</x:v>
      </x:c>
      <x:c r="P21" s="62" t="n">
        <x:v>4</x:v>
      </x:c>
      <x:c r="Q21" s="62" t="n">
        <x:v>4</x:v>
      </x:c>
      <x:c r="R21" s="62" t="str">
        <x:v>None</x:v>
      </x:c>
      <x:c r="S21" s="62" t="str">
        <x:v>Moderate</x:v>
      </x:c>
      <x:c r="T21" s="64" t="n">
        <x:f>ROUND(IF(E21="",7.5,MIN(E21/100000,1)*15)+IF(F21="",7.5,(100-F21)/100*15)+(J21/5*20)+(L21/5*10)+((6-M21)/5*10)+((6-N21)/5*5)+(O21/5*10)+(P21/5*5)+(Q21/5*10)-IF(S21="High",20,IF(S21="Moderate",8,0)),0)</x:f>
        <x:v>66</x:v>
      </x:c>
      <x:c r="U21" s="62" t="str">
        <x:f>IF(T21&gt;=78,"A - Research first",IF(T21&gt;=68,"B - Validate",IF(T21&gt;=58,"C - Watch","D - Skip")))</x:f>
        <x:v>C - Watch</x:v>
      </x:c>
      <x:c r="V21" s="62" t="str">
        <x:v>SKIP</x:v>
      </x:c>
      <x:c r="W21" s="62" t="str">
        <x:v>Do not prioritize despite volume. Security trust + strong brands make this a poor first portfolio bet.</x:v>
      </x:c>
      <x:c r="X21" s="62" t="str">
        <x:v>https://www.lastpass.com/features/password-generator ; https://1password.com/password-generator</x:v>
      </x:c>
      <x:c r="Y21" s="66" t="n">
        <x:v>46244</x:v>
      </x:c>
    </x:row>
    <x:row r="22">
      <x:c r="A22" s="62" t="n">
        <x:f>RANK.EQ(T22,$T$2:$T$23,0)</x:f>
        <x:v>16</x:v>
      </x:c>
      <x:c r="B22" s="62" t="str">
        <x:v>Media / Design</x:v>
      </x:c>
      <x:c r="C22" s="62" t="str">
        <x:v>color palette generator</x:v>
      </x:c>
      <x:c r="D22" s="62" t="str">
        <x:v>Color Palette Generator</x:v>
      </x:c>
      <x:c r="E22" s="63" t="n">
        <x:v>65000</x:v>
      </x:c>
      <x:c r="F22" s="64" t="n">
        <x:v>32</x:v>
      </x:c>
      <x:c r="G22" s="65" t="n">
        <x:v>1.25</x:v>
      </x:c>
      <x:c r="H22" s="62" t="str">
        <x:v>KDROI public estimate — validate in Ahrefs</x:v>
      </x:c>
      <x:c r="I22" s="62" t="str">
        <x:v>https://kdroi.io/analysis/color-palette-generator</x:v>
      </x:c>
      <x:c r="J22" s="62" t="n">
        <x:v>2</x:v>
      </x:c>
      <x:c r="K22" s="62" t="str">
        <x:v>Current SERP sample includes Coolors, Canva and Adobe — stronger than the earlier weak-SERP hypothesis. Needs a differentiated modifier, not head-term attack.</x:v>
      </x:c>
      <x:c r="L22" s="62" t="n">
        <x:v>5</x:v>
      </x:c>
      <x:c r="M22" s="62" t="n">
        <x:v>2</x:v>
      </x:c>
      <x:c r="N22" s="62" t="n">
        <x:v>3</x:v>
      </x:c>
      <x:c r="O22" s="62" t="n">
        <x:v>5</x:v>
      </x:c>
      <x:c r="P22" s="62" t="n">
        <x:v>3</x:v>
      </x:c>
      <x:c r="Q22" s="62" t="n">
        <x:v>5</x:v>
      </x:c>
      <x:c r="R22" s="62" t="str">
        <x:v>None</x:v>
      </x:c>
      <x:c r="S22" s="62" t="str">
        <x:v>None</x:v>
      </x:c>
      <x:c r="T22" s="64" t="n">
        <x:f>ROUND(IF(E22="",7.5,MIN(E22/100000,1)*15)+IF(F22="",7.5,(100-F22)/100*15)+(J22/5*20)+(L22/5*10)+((6-M22)/5*10)+((6-N22)/5*5)+(O22/5*10)+(P22/5*5)+(Q22/5*10)-IF(S22="High",20,IF(S22="Moderate",8,0)),0)</x:f>
        <x:v>72</x:v>
      </x:c>
      <x:c r="U22" s="62" t="str">
        <x:f>IF(T22&gt;=78,"A - Research first",IF(T22&gt;=68,"B - Validate",IF(T22&gt;=58,"C - Watch","D - Skip")))</x:f>
        <x:v>B - Validate</x:v>
      </x:c>
      <x:c r="V22" s="62" t="str">
        <x:v>SKIP HEAD TERM</x:v>
      </x:c>
      <x:c r="W22" s="62" t="str">
        <x:v>Research niche modifiers: image palette extractor, brand palette, accessible palette, room color palette, etc.</x:v>
      </x:c>
      <x:c r="X22" s="62" t="str">
        <x:v>https://coolors.co/ ; https://www.canva.com/colors/color-palette-generator/ ; https://color.adobe.com/</x:v>
      </x:c>
      <x:c r="Y22" s="66" t="n">
        <x:v>46244</x:v>
      </x:c>
    </x:row>
    <x:row r="23">
      <x:c r="A23" s="62" t="n">
        <x:f>RANK.EQ(T23,$T$2:$T$23,0)</x:f>
        <x:v>22</x:v>
      </x:c>
      <x:c r="B23" s="62" t="str">
        <x:v>Property / Paint</x:v>
      </x:c>
      <x:c r="C23" s="62" t="str">
        <x:v>paint calculator</x:v>
      </x:c>
      <x:c r="D23" s="62" t="str">
        <x:v>Paint Calculator</x:v>
      </x:c>
      <x:c r="E23" s="63"/>
      <x:c r="F23" s="64"/>
      <x:c r="G23" s="65"/>
      <x:c r="H23" s="62" t="str">
        <x:v>Needs Ahrefs/Keyword Planner validation</x:v>
      </x:c>
      <x:c r="I23" s="62" t="str"/>
      <x:c r="J23" s="62" t="n">
        <x:v>1</x:v>
      </x:c>
      <x:c r="K23" s="62" t="str">
        <x:v>SERP is dominated by paint brands/retailers such as Benjamin Moore, Behr, Lowe's and Sherwin-Williams.</x:v>
      </x:c>
      <x:c r="L23" s="62" t="n">
        <x:v>5</x:v>
      </x:c>
      <x:c r="M23" s="62" t="n">
        <x:v>2</x:v>
      </x:c>
      <x:c r="N23" s="62" t="n">
        <x:v>1</x:v>
      </x:c>
      <x:c r="O23" s="62" t="n">
        <x:v>5</x:v>
      </x:c>
      <x:c r="P23" s="62" t="n">
        <x:v>5</x:v>
      </x:c>
      <x:c r="Q23" s="62" t="n">
        <x:v>4</x:v>
      </x:c>
      <x:c r="R23" s="62" t="str">
        <x:v>High</x:v>
      </x:c>
      <x:c r="S23" s="62" t="str">
        <x:v>None</x:v>
      </x:c>
      <x:c r="T23" s="64" t="n">
        <x:f>ROUND(IF(E23="",7.5,MIN(E23/100000,1)*15)+IF(F23="",7.5,(100-F23)/100*15)+(J23/5*20)+(L23/5*10)+((6-M23)/5*10)+((6-N23)/5*5)+(O23/5*10)+(P23/5*5)+(Q23/5*10)-IF(S23="High",20,IF(S23="Moderate",8,0)),0)</x:f>
        <x:v>65</x:v>
      </x:c>
      <x:c r="U23" s="62" t="str">
        <x:f>IF(T23&gt;=78,"A - Research first",IF(T23&gt;=68,"B - Validate",IF(T23&gt;=58,"C - Watch","D - Skip")))</x:f>
        <x:v>C - Watch</x:v>
      </x:c>
      <x:c r="V23" s="62" t="str">
        <x:v>SKIP HEAD TERM</x:v>
      </x:c>
      <x:c r="W23" s="62" t="str">
        <x:v>Look for narrow calculations the brands underserve: trim paint, ceiling paint, cabinet paint, exterior siding paint.</x:v>
      </x:c>
      <x:c r="X23" s="62" t="str">
        <x:v>https://www.benjaminmoore.com/en-us/interior-exterior-paints-stains/how-to-advice/paint-calculator ; https://www.behr.com/consumer/paint-and-stain-calculator</x:v>
      </x:c>
      <x:c r="Y23" s="66" t="n">
        <x:v>46244</x:v>
      </x:c>
    </x:row>
  </x:sheetData>
  <x:conditionalFormatting sqref="T2:T23">
    <x:cfRule type="colorScale" priority="1">
      <x:colorScale>
        <x:cfvo type="min"/>
        <x:cfvo type="percentile" val="50"/>
        <x:cfvo type="max"/>
        <x:color rgb="FFF4CCCC"/>
        <x:color rgb="FFFFF2CC"/>
        <x:color rgb="FFD9EAD3"/>
      </x:colorScale>
    </x:cfRule>
  </x:conditionalFormatting>
  <x:conditionalFormatting sqref="J2:J23">
    <x:cfRule type="colorScale" priority="2">
      <x:colorScale>
        <x:cfvo type="min"/>
        <x:cfvo type="percentile" val="50"/>
        <x:cfvo type="max"/>
        <x:color rgb="FFF4CCCC"/>
        <x:color rgb="FFFFF2CC"/>
        <x:color rgb="FFD9EAD3"/>
      </x:colorScale>
    </x:cfRule>
  </x:conditionalFormatting>
  <x:conditionalFormatting sqref="F2:F23">
    <x:cfRule type="colorScale" priority="3">
      <x:colorScale>
        <x:cfvo type="min"/>
        <x:cfvo type="percentile" val="50"/>
        <x:cfvo type="max"/>
        <x:color rgb="FFD9EAD3"/>
        <x:color rgb="FFFFF2CC"/>
        <x:color rgb="FFF4CCCC"/>
      </x:colorScale>
    </x:cfRule>
  </x:conditionalFormatting>
  <x:pageMargins left="0.7" right="0.7" top="0.75" bottom="0.75" header="0.3" footer="0.3"/>
  <x:tableParts count="1">
    <x:tablePart xmlns:r="http://schemas.openxmlformats.org/officeDocument/2006/relationships" r:id="R3da78bacadc04d16"/>
  </x:tableParts>
</x:worksheet>
</file>

<file path=xl/worksheets/sheet3.xml><?xml version="1.0" encoding="utf-8"?>
<x:worksheet xmlns:x="http://schemas.openxmlformats.org/spreadsheetml/2006/main">
  <x:sheetFormatPr defaultRowHeight="15"/>
  <x:cols>
    <x:col min="1" max="1" width="25" hidden="0" customWidth="1"/>
    <x:col min="2" max="2" width="20" hidden="0" customWidth="1"/>
    <x:col min="3" max="3" width="13" hidden="0" customWidth="1"/>
    <x:col min="4" max="4" width="10" hidden="0" customWidth="1"/>
    <x:col min="5" max="5" width="10" hidden="0" customWidth="1"/>
    <x:col min="6" max="6" width="38" hidden="0" customWidth="1"/>
    <x:col min="7" max="7" width="50" hidden="0" customWidth="1"/>
    <x:col min="8" max="8" width="24" hidden="0" customWidth="1"/>
  </x:cols>
  <x:sheetData>
    <x:row r="1">
      <x:c r="A1" s="28" t="str">
        <x:v>Search Term</x:v>
      </x:c>
      <x:c r="B1" s="28" t="str">
        <x:v>Cluster</x:v>
      </x:c>
      <x:c r="C1" s="28" t="str">
        <x:v>Volume
(public est.)</x:v>
      </x:c>
      <x:c r="D1" s="28" t="str">
        <x:v>KD
(public est.)</x:v>
      </x:c>
      <x:c r="E1" s="28" t="str">
        <x:v>CPC</x:v>
      </x:c>
      <x:c r="F1" s="28" t="str">
        <x:v>Metric Source URL</x:v>
      </x:c>
      <x:c r="G1" s="28" t="str">
        <x:v>Why in Queue / What to Test</x:v>
      </x:c>
      <x:c r="H1" s="28" t="str">
        <x:v>SERP Status</x:v>
      </x:c>
    </x:row>
    <x:row r="2">
      <x:c r="A2" s="13" t="str">
        <x:v>random number generator</x:v>
      </x:c>
      <x:c r="B2" s="13" t="str">
        <x:v>Generators</x:v>
      </x:c>
      <x:c r="C2" s="54" t="n">
        <x:v>180000</x:v>
      </x:c>
      <x:c r="D2" s="13" t="n">
        <x:v>22</x:v>
      </x:c>
      <x:c r="E2" s="56" t="n">
        <x:v>0.55</x:v>
      </x:c>
      <x:c r="F2" s="13" t="str">
        <x:v>https://kdroi.io/analysis/random-number-generator</x:v>
      </x:c>
      <x:c r="G2" s="13" t="str">
        <x:v>Check SERP + zero-click risk; research random picker / range-specific variants.</x:v>
      </x:c>
      <x:c r="H2" s="13" t="str">
        <x:v>Manual SERP review still needed</x:v>
      </x:c>
    </x:row>
    <x:row r="3">
      <x:c r="A3" s="13" t="str">
        <x:v>roman numeral converter</x:v>
      </x:c>
      <x:c r="B3" s="13" t="str">
        <x:v>Converters</x:v>
      </x:c>
      <x:c r="C3" s="54" t="n">
        <x:v>85000</x:v>
      </x:c>
      <x:c r="D3" s="13" t="n">
        <x:v>28</x:v>
      </x:c>
      <x:c r="E3" s="56" t="n">
        <x:v>0.45</x:v>
      </x:c>
      <x:c r="F3" s="13" t="str">
        <x:v>https://kdroi.io/analysis/roman-numeral-converter</x:v>
      </x:c>
      <x:c r="G3" s="13" t="str">
        <x:v>Strong zero-click risk; maybe worksheet/education variants.</x:v>
      </x:c>
      <x:c r="H3" s="13" t="str">
        <x:v>Manual SERP review still needed</x:v>
      </x:c>
    </x:row>
    <x:row r="4">
      <x:c r="A4" s="13" t="str">
        <x:v>binary converter</x:v>
      </x:c>
      <x:c r="B4" s="13" t="str">
        <x:v>Converters</x:v>
      </x:c>
      <x:c r="C4" s="54" t="n">
        <x:v>75000</x:v>
      </x:c>
      <x:c r="D4" s="13" t="n">
        <x:v>22</x:v>
      </x:c>
      <x:c r="E4" s="56" t="n">
        <x:v>0.55</x:v>
      </x:c>
      <x:c r="F4" s="13" t="str">
        <x:v>https://kdroi.io/analysis/binary-converter</x:v>
      </x:c>
      <x:c r="G4" s="13" t="str">
        <x:v>Validate binary↔decimal / hex / ASCII cluster.</x:v>
      </x:c>
      <x:c r="H4" s="13" t="str">
        <x:v>Manual SERP review still needed</x:v>
      </x:c>
    </x:row>
    <x:row r="5">
      <x:c r="A5" s="13" t="str">
        <x:v>color picker</x:v>
      </x:c>
      <x:c r="B5" s="13" t="str">
        <x:v>Color / Developer</x:v>
      </x:c>
      <x:c r="C5" s="54" t="n">
        <x:v>145000</x:v>
      </x:c>
      <x:c r="D5" s="13" t="n">
        <x:v>28</x:v>
      </x:c>
      <x:c r="E5" s="56" t="n">
        <x:v>1.2</x:v>
      </x:c>
      <x:c r="F5" s="13" t="str">
        <x:v>https://kdroi.io/analysis/color-picker</x:v>
      </x:c>
      <x:c r="G5" s="13" t="str">
        <x:v>Validate image color picker / screen color picker / HEX picker variants.</x:v>
      </x:c>
      <x:c r="H5" s="13" t="str">
        <x:v>Manual SERP review still needed</x:v>
      </x:c>
    </x:row>
    <x:row r="6">
      <x:c r="A6" s="13" t="str">
        <x:v>markdown editor</x:v>
      </x:c>
      <x:c r="B6" s="13" t="str">
        <x:v>Developer Utilities</x:v>
      </x:c>
      <x:c r="C6" s="54" t="n">
        <x:v>75000</x:v>
      </x:c>
      <x:c r="D6" s="13" t="n">
        <x:v>35</x:v>
      </x:c>
      <x:c r="E6" s="56" t="n">
        <x:v>2.1</x:v>
      </x:c>
      <x:c r="F6" s="13" t="str">
        <x:v>https://kdroi.io/analysis/markdown-editor</x:v>
      </x:c>
      <x:c r="G6" s="13" t="str">
        <x:v>Likely app-heavy SERP; research lightweight live preview modifiers.</x:v>
      </x:c>
      <x:c r="H6" s="13" t="str">
        <x:v>Manual SERP review still needed</x:v>
      </x:c>
    </x:row>
    <x:row r="7">
      <x:c r="A7" s="13" t="str">
        <x:v>schedule builder</x:v>
      </x:c>
      <x:c r="B7" s="13" t="str">
        <x:v>Scheduling</x:v>
      </x:c>
      <x:c r="C7" s="54" t="n">
        <x:v>74000</x:v>
      </x:c>
      <x:c r="D7" s="13" t="n">
        <x:v>36</x:v>
      </x:c>
      <x:c r="E7" s="56" t="n">
        <x:v>4.49</x:v>
      </x:c>
      <x:c r="F7" s="13" t="str">
        <x:v>https://kdroi.io/analysis/schedule-builder</x:v>
      </x:c>
      <x:c r="G7" s="13" t="str">
        <x:v>Head intent is mixed with university class schedulers; investigate weekly/work schedule modifiers.</x:v>
      </x:c>
      <x:c r="H7" s="13" t="str">
        <x:v>Manual SERP review still needed</x:v>
      </x:c>
    </x:row>
    <x:row r="8">
      <x:c r="A8" s="13" t="str">
        <x:v>percentage calculator</x:v>
      </x:c>
      <x:c r="B8" s="13" t="str">
        <x:v>Calculators</x:v>
      </x:c>
      <x:c r="C8" s="54" t="n">
        <x:v>450000</x:v>
      </x:c>
      <x:c r="D8" s="13" t="n">
        <x:v>38</x:v>
      </x:c>
      <x:c r="E8" s="56" t="n">
        <x:v>1.85</x:v>
      </x:c>
      <x:c r="F8" s="13" t="str">
        <x:v>https://kdroi.io/analysis/percentage-calculator</x:v>
      </x:c>
      <x:c r="G8" s="13" t="str">
        <x:v>Huge demand but severe zero-click/native calculator risk; long-tail only.</x:v>
      </x:c>
      <x:c r="H8" s="13" t="str">
        <x:v>Manual SERP review still needed</x:v>
      </x:c>
    </x:row>
    <x:row r="9">
      <x:c r="A9" s="13" t="str">
        <x:v>tip calculator</x:v>
      </x:c>
      <x:c r="B9" s="13" t="str">
        <x:v>Calculators</x:v>
      </x:c>
      <x:c r="C9" s="54" t="n">
        <x:v>165000</x:v>
      </x:c>
      <x:c r="D9" s="13" t="n">
        <x:v>25</x:v>
      </x:c>
      <x:c r="E9" s="56" t="n">
        <x:v>0.95</x:v>
      </x:c>
      <x:c r="F9" s="13" t="str">
        <x:v>https://kdroi.io/analysis/tip-calculator</x:v>
      </x:c>
      <x:c r="G9" s="13" t="str">
        <x:v>High zero-click risk; investigate split-bill/tax/gratuity variants.</x:v>
      </x:c>
      <x:c r="H9" s="13" t="str">
        <x:v>Manual SERP review still needed</x:v>
      </x:c>
    </x:row>
    <x:row r="10">
      <x:c r="A10" s="13" t="str">
        <x:v>meta tag generator</x:v>
      </x:c>
      <x:c r="B10" s="13" t="str">
        <x:v>SEO Tools</x:v>
      </x:c>
      <x:c r="C10" s="54" t="n">
        <x:v>28000</x:v>
      </x:c>
      <x:c r="D10" s="13" t="n">
        <x:v>32</x:v>
      </x:c>
      <x:c r="E10" s="56" t="n">
        <x:v>2.45</x:v>
      </x:c>
      <x:c r="F10" s="13" t="str">
        <x:v>https://kdroi.io/analysis/meta-tag-generator</x:v>
      </x:c>
      <x:c r="G10" s="13" t="str">
        <x:v>Potential cluster tool; validate SERP and AI-generated-output competition.</x:v>
      </x:c>
      <x:c r="H10" s="13" t="str">
        <x:v>Manual SERP review still needed</x:v>
      </x:c>
    </x:row>
    <x:row r="11">
      <x:c r="A11" s="13" t="str">
        <x:v>html encoder</x:v>
      </x:c>
      <x:c r="B11" s="13" t="str">
        <x:v>Developer Utilities</x:v>
      </x:c>
      <x:c r="C11" s="54" t="n">
        <x:v>35000</x:v>
      </x:c>
      <x:c r="D11" s="13" t="n">
        <x:v>22</x:v>
      </x:c>
      <x:c r="E11" s="56" t="n">
        <x:v>0.75</x:v>
      </x:c>
      <x:c r="F11" s="13" t="str">
        <x:v>https://kdroi.io/analysis/html-encoder</x:v>
      </x:c>
      <x:c r="G11" s="13" t="str">
        <x:v>Validate entity encoder/decoder and HTML escape cluster.</x:v>
      </x:c>
      <x:c r="H11" s="13" t="str">
        <x:v>Manual SERP review still needed</x:v>
      </x:c>
    </x:row>
  </x:sheetData>
  <x:pageMargins left="0.7" right="0.7" top="0.75" bottom="0.75" header="0.3" footer="0.3"/>
  <x:tableParts count="1">
    <x:tablePart xmlns:r="http://schemas.openxmlformats.org/officeDocument/2006/relationships" r:id="R573eb0f00c844820"/>
  </x:tableParts>
</x:worksheet>
</file>

<file path=xl/worksheets/sheet4.xml><?xml version="1.0" encoding="utf-8"?>
<x:worksheet xmlns:x="http://schemas.openxmlformats.org/spreadsheetml/2006/main">
  <x:sheetFormatPr defaultRowHeight="15"/>
  <x:cols>
    <x:col min="1" max="1" width="34" hidden="0" customWidth="1"/>
    <x:col min="2" max="2" width="24" hidden="0" customWidth="1"/>
    <x:col min="3" max="3" width="22" hidden="0" customWidth="1"/>
    <x:col min="4" max="4" width="13" hidden="0" customWidth="1"/>
    <x:col min="5" max="5" width="13" hidden="0" customWidth="1"/>
    <x:col min="6" max="6" width="20" hidden="0" customWidth="1"/>
    <x:col min="7" max="7" width="17" hidden="0" customWidth="1"/>
    <x:col min="8" max="8" width="22" hidden="0" customWidth="1"/>
    <x:col min="9" max="9" width="22" hidden="0" customWidth="1"/>
    <x:col min="10" max="10" width="40" hidden="0" customWidth="1"/>
  </x:cols>
  <x:sheetData>
    <x:row r="1">
      <x:c r="A1" s="28" t="str">
        <x:v>Long-Tail Search Term to Pull</x:v>
      </x:c>
      <x:c r="B1" s="28" t="str">
        <x:v>Parent Tool</x:v>
      </x:c>
      <x:c r="C1" s="28" t="str">
        <x:v>Cluster</x:v>
      </x:c>
      <x:c r="D1" s="28" t="str">
        <x:v>Ahrefs Volume</x:v>
      </x:c>
      <x:c r="E1" s="28" t="str">
        <x:v>Ahrefs KD</x:v>
      </x:c>
      <x:c r="F1" s="28" t="str">
        <x:v>Top-10 SERP Checked?</x:v>
      </x:c>
      <x:c r="G1" s="28" t="str">
        <x:v>Weakest Top-10 DR</x:v>
      </x:c>
      <x:c r="H1" s="28" t="str">
        <x:v>New/Niche Site in Top 10?</x:v>
      </x:c>
      <x:c r="I1" s="28" t="str">
        <x:v>Decision</x:v>
      </x:c>
      <x:c r="J1" s="28" t="str">
        <x:v>Notes</x:v>
      </x:c>
    </x:row>
    <x:row r="2">
      <x:c r="A2" s="13" t="str">
        <x:v>count lines in text</x:v>
      </x:c>
      <x:c r="B2" s="13" t="str">
        <x:v>line counter</x:v>
      </x:c>
      <x:c r="C2" s="13" t="str">
        <x:v>Text Utilities</x:v>
      </x:c>
      <x:c r="D2" s="13"/>
      <x:c r="E2" s="13"/>
      <x:c r="F2" s="13" t="str">
        <x:v>No</x:v>
      </x:c>
      <x:c r="G2" s="13"/>
      <x:c r="H2" s="13" t="str">
        <x:v>Unknown</x:v>
      </x:c>
      <x:c r="I2" s="13" t="str">
        <x:v>Pull in Ahrefs Starter</x:v>
      </x:c>
      <x:c r="J2" s="13" t="str">
        <x:v>Goal: KD ≤10 OR unusually weak top-10 SERP</x:v>
      </x:c>
    </x:row>
    <x:row r="3">
      <x:c r="A3" s="13" t="str">
        <x:v>code line counter online</x:v>
      </x:c>
      <x:c r="B3" s="13" t="str">
        <x:v>line counter</x:v>
      </x:c>
      <x:c r="C3" s="13" t="str">
        <x:v>Text Utilities</x:v>
      </x:c>
      <x:c r="D3" s="13"/>
      <x:c r="E3" s="13"/>
      <x:c r="F3" s="13" t="str">
        <x:v>No</x:v>
      </x:c>
      <x:c r="G3" s="13"/>
      <x:c r="H3" s="13" t="str">
        <x:v>Unknown</x:v>
      </x:c>
      <x:c r="I3" s="13" t="str">
        <x:v>Pull in Ahrefs Starter</x:v>
      </x:c>
      <x:c r="J3" s="13" t="str">
        <x:v>Goal: KD ≤10 OR unusually weak top-10 SERP</x:v>
      </x:c>
    </x:row>
    <x:row r="4">
      <x:c r="A4" s="13" t="str">
        <x:v>remove duplicate lines from list</x:v>
      </x:c>
      <x:c r="B4" s="13" t="str">
        <x:v>duplicate line remover</x:v>
      </x:c>
      <x:c r="C4" s="13" t="str">
        <x:v>Text Utilities</x:v>
      </x:c>
      <x:c r="D4" s="13"/>
      <x:c r="E4" s="13"/>
      <x:c r="F4" s="13" t="str">
        <x:v>No</x:v>
      </x:c>
      <x:c r="G4" s="13"/>
      <x:c r="H4" s="13" t="str">
        <x:v>Unknown</x:v>
      </x:c>
      <x:c r="I4" s="13" t="str">
        <x:v>Pull in Ahrefs Starter</x:v>
      </x:c>
      <x:c r="J4" s="13" t="str">
        <x:v>Goal: KD ≤10 OR unusually weak top-10 SERP</x:v>
      </x:c>
    </x:row>
    <x:row r="5">
      <x:c r="A5" s="13" t="str">
        <x:v>remove duplicate rows online</x:v>
      </x:c>
      <x:c r="B5" s="13" t="str">
        <x:v>duplicate line remover</x:v>
      </x:c>
      <x:c r="C5" s="13" t="str">
        <x:v>Text Utilities</x:v>
      </x:c>
      <x:c r="D5" s="13"/>
      <x:c r="E5" s="13"/>
      <x:c r="F5" s="13" t="str">
        <x:v>No</x:v>
      </x:c>
      <x:c r="G5" s="13"/>
      <x:c r="H5" s="13" t="str">
        <x:v>Unknown</x:v>
      </x:c>
      <x:c r="I5" s="13" t="str">
        <x:v>Pull in Ahrefs Starter</x:v>
      </x:c>
      <x:c r="J5" s="13" t="str">
        <x:v>Goal: KD ≤10 OR unusually weak top-10 SERP</x:v>
      </x:c>
    </x:row>
    <x:row r="6">
      <x:c r="A6" s="13" t="str">
        <x:v>character count without spaces</x:v>
      </x:c>
      <x:c r="B6" s="13" t="str">
        <x:v>character counter</x:v>
      </x:c>
      <x:c r="C6" s="13" t="str">
        <x:v>Text Utilities</x:v>
      </x:c>
      <x:c r="D6" s="13"/>
      <x:c r="E6" s="13"/>
      <x:c r="F6" s="13" t="str">
        <x:v>No</x:v>
      </x:c>
      <x:c r="G6" s="13"/>
      <x:c r="H6" s="13" t="str">
        <x:v>Unknown</x:v>
      </x:c>
      <x:c r="I6" s="13" t="str">
        <x:v>Pull in Ahrefs Starter</x:v>
      </x:c>
      <x:c r="J6" s="13" t="str">
        <x:v>Goal: KD ≤10 OR unusually weak top-10 SERP</x:v>
      </x:c>
    </x:row>
    <x:row r="7">
      <x:c r="A7" s="13" t="str">
        <x:v>letter counter online</x:v>
      </x:c>
      <x:c r="B7" s="13" t="str">
        <x:v>character counter</x:v>
      </x:c>
      <x:c r="C7" s="13" t="str">
        <x:v>Text Utilities</x:v>
      </x:c>
      <x:c r="D7" s="13"/>
      <x:c r="E7" s="13"/>
      <x:c r="F7" s="13" t="str">
        <x:v>No</x:v>
      </x:c>
      <x:c r="G7" s="13"/>
      <x:c r="H7" s="13" t="str">
        <x:v>Unknown</x:v>
      </x:c>
      <x:c r="I7" s="13" t="str">
        <x:v>Pull in Ahrefs Starter</x:v>
      </x:c>
      <x:c r="J7" s="13" t="str">
        <x:v>Goal: KD ≤10 OR unusually weak top-10 SERP</x:v>
      </x:c>
    </x:row>
    <x:row r="8">
      <x:c r="A8" s="13" t="str">
        <x:v>unix timestamp converter milliseconds</x:v>
      </x:c>
      <x:c r="B8" s="13" t="str">
        <x:v>timestamp converter</x:v>
      </x:c>
      <x:c r="C8" s="13" t="str">
        <x:v>Developer / Time</x:v>
      </x:c>
      <x:c r="D8" s="13"/>
      <x:c r="E8" s="13"/>
      <x:c r="F8" s="13" t="str">
        <x:v>No</x:v>
      </x:c>
      <x:c r="G8" s="13"/>
      <x:c r="H8" s="13" t="str">
        <x:v>Unknown</x:v>
      </x:c>
      <x:c r="I8" s="13" t="str">
        <x:v>Pull in Ahrefs Starter</x:v>
      </x:c>
      <x:c r="J8" s="13" t="str">
        <x:v>Goal: KD ≤10 OR unusually weak top-10 SERP</x:v>
      </x:c>
    </x:row>
    <x:row r="9">
      <x:c r="A9" s="13" t="str">
        <x:v>epoch milliseconds converter</x:v>
      </x:c>
      <x:c r="B9" s="13" t="str">
        <x:v>timestamp converter</x:v>
      </x:c>
      <x:c r="C9" s="13" t="str">
        <x:v>Developer / Time</x:v>
      </x:c>
      <x:c r="D9" s="13"/>
      <x:c r="E9" s="13"/>
      <x:c r="F9" s="13" t="str">
        <x:v>No</x:v>
      </x:c>
      <x:c r="G9" s="13"/>
      <x:c r="H9" s="13" t="str">
        <x:v>Unknown</x:v>
      </x:c>
      <x:c r="I9" s="13" t="str">
        <x:v>Pull in Ahrefs Starter</x:v>
      </x:c>
      <x:c r="J9" s="13" t="str">
        <x:v>Goal: KD ≤10 OR unusually weak top-10 SERP</x:v>
      </x:c>
    </x:row>
    <x:row r="10">
      <x:c r="A10" s="13" t="str">
        <x:v>bulk uuid generator</x:v>
      </x:c>
      <x:c r="B10" s="13" t="str">
        <x:v>uuid generator</x:v>
      </x:c>
      <x:c r="C10" s="13" t="str">
        <x:v>Developer Utilities</x:v>
      </x:c>
      <x:c r="D10" s="13"/>
      <x:c r="E10" s="13"/>
      <x:c r="F10" s="13" t="str">
        <x:v>No</x:v>
      </x:c>
      <x:c r="G10" s="13"/>
      <x:c r="H10" s="13" t="str">
        <x:v>Unknown</x:v>
      </x:c>
      <x:c r="I10" s="13" t="str">
        <x:v>Pull in Ahrefs Starter</x:v>
      </x:c>
      <x:c r="J10" s="13" t="str">
        <x:v>Goal: KD ≤10 OR unusually weak top-10 SERP</x:v>
      </x:c>
    </x:row>
    <x:row r="11">
      <x:c r="A11" s="13" t="str">
        <x:v>uuid v4 generator bulk</x:v>
      </x:c>
      <x:c r="B11" s="13" t="str">
        <x:v>uuid generator</x:v>
      </x:c>
      <x:c r="C11" s="13" t="str">
        <x:v>Developer Utilities</x:v>
      </x:c>
      <x:c r="D11" s="13"/>
      <x:c r="E11" s="13"/>
      <x:c r="F11" s="13" t="str">
        <x:v>No</x:v>
      </x:c>
      <x:c r="G11" s="13"/>
      <x:c r="H11" s="13" t="str">
        <x:v>Unknown</x:v>
      </x:c>
      <x:c r="I11" s="13" t="str">
        <x:v>Pull in Ahrefs Starter</x:v>
      </x:c>
      <x:c r="J11" s="13" t="str">
        <x:v>Goal: KD ≤10 OR unusually weak top-10 SERP</x:v>
      </x:c>
    </x:row>
    <x:row r="12">
      <x:c r="A12" s="13" t="str">
        <x:v>sha256 hash generator online</x:v>
      </x:c>
      <x:c r="B12" s="13" t="str">
        <x:v>hash generator</x:v>
      </x:c>
      <x:c r="C12" s="13" t="str">
        <x:v>Developer Utilities</x:v>
      </x:c>
      <x:c r="D12" s="13"/>
      <x:c r="E12" s="13"/>
      <x:c r="F12" s="13" t="str">
        <x:v>No</x:v>
      </x:c>
      <x:c r="G12" s="13"/>
      <x:c r="H12" s="13" t="str">
        <x:v>Unknown</x:v>
      </x:c>
      <x:c r="I12" s="13" t="str">
        <x:v>Pull in Ahrefs Starter</x:v>
      </x:c>
      <x:c r="J12" s="13" t="str">
        <x:v>Goal: KD ≤10 OR unusually weak top-10 SERP</x:v>
      </x:c>
    </x:row>
    <x:row r="13">
      <x:c r="A13" s="13" t="str">
        <x:v>checksum generator online</x:v>
      </x:c>
      <x:c r="B13" s="13" t="str">
        <x:v>hash generator</x:v>
      </x:c>
      <x:c r="C13" s="13" t="str">
        <x:v>Developer Utilities</x:v>
      </x:c>
      <x:c r="D13" s="13"/>
      <x:c r="E13" s="13"/>
      <x:c r="F13" s="13" t="str">
        <x:v>No</x:v>
      </x:c>
      <x:c r="G13" s="13"/>
      <x:c r="H13" s="13" t="str">
        <x:v>Unknown</x:v>
      </x:c>
      <x:c r="I13" s="13" t="str">
        <x:v>Pull in Ahrefs Starter</x:v>
      </x:c>
      <x:c r="J13" s="13" t="str">
        <x:v>Goal: KD ≤10 OR unusually weak top-10 SERP</x:v>
      </x:c>
    </x:row>
    <x:row r="14">
      <x:c r="A14" s="13" t="str">
        <x:v>base64 image encoder</x:v>
      </x:c>
      <x:c r="B14" s="13" t="str">
        <x:v>base64 encoder</x:v>
      </x:c>
      <x:c r="C14" s="13" t="str">
        <x:v>Developer Utilities</x:v>
      </x:c>
      <x:c r="D14" s="13"/>
      <x:c r="E14" s="13"/>
      <x:c r="F14" s="13" t="str">
        <x:v>No</x:v>
      </x:c>
      <x:c r="G14" s="13"/>
      <x:c r="H14" s="13" t="str">
        <x:v>Unknown</x:v>
      </x:c>
      <x:c r="I14" s="13" t="str">
        <x:v>Pull in Ahrefs Starter</x:v>
      </x:c>
      <x:c r="J14" s="13" t="str">
        <x:v>Goal: KD ≤10 OR unusually weak top-10 SERP</x:v>
      </x:c>
    </x:row>
    <x:row r="15">
      <x:c r="A15" s="13" t="str">
        <x:v>url safe base64 encoder</x:v>
      </x:c>
      <x:c r="B15" s="13" t="str">
        <x:v>base64 encoder</x:v>
      </x:c>
      <x:c r="C15" s="13" t="str">
        <x:v>Developer Utilities</x:v>
      </x:c>
      <x:c r="D15" s="13"/>
      <x:c r="E15" s="13"/>
      <x:c r="F15" s="13" t="str">
        <x:v>No</x:v>
      </x:c>
      <x:c r="G15" s="13"/>
      <x:c r="H15" s="13" t="str">
        <x:v>Unknown</x:v>
      </x:c>
      <x:c r="I15" s="13" t="str">
        <x:v>Pull in Ahrefs Starter</x:v>
      </x:c>
      <x:c r="J15" s="13" t="str">
        <x:v>Goal: KD ≤10 OR unusually weak top-10 SERP</x:v>
      </x:c>
    </x:row>
    <x:row r="16">
      <x:c r="A16" s="13" t="str">
        <x:v>json beautifier online</x:v>
      </x:c>
      <x:c r="B16" s="13" t="str">
        <x:v>json formatter</x:v>
      </x:c>
      <x:c r="C16" s="13" t="str">
        <x:v>Developer Utilities</x:v>
      </x:c>
      <x:c r="D16" s="13"/>
      <x:c r="E16" s="13"/>
      <x:c r="F16" s="13" t="str">
        <x:v>No</x:v>
      </x:c>
      <x:c r="G16" s="13"/>
      <x:c r="H16" s="13" t="str">
        <x:v>Unknown</x:v>
      </x:c>
      <x:c r="I16" s="13" t="str">
        <x:v>Pull in Ahrefs Starter</x:v>
      </x:c>
      <x:c r="J16" s="13" t="str">
        <x:v>Goal: KD ≤10 OR unusually weak top-10 SERP</x:v>
      </x:c>
    </x:row>
    <x:row r="17">
      <x:c r="A17" s="13" t="str">
        <x:v>json pretty print online</x:v>
      </x:c>
      <x:c r="B17" s="13" t="str">
        <x:v>json formatter</x:v>
      </x:c>
      <x:c r="C17" s="13" t="str">
        <x:v>Developer Utilities</x:v>
      </x:c>
      <x:c r="D17" s="13"/>
      <x:c r="E17" s="13"/>
      <x:c r="F17" s="13" t="str">
        <x:v>No</x:v>
      </x:c>
      <x:c r="G17" s="13"/>
      <x:c r="H17" s="13" t="str">
        <x:v>Unknown</x:v>
      </x:c>
      <x:c r="I17" s="13" t="str">
        <x:v>Pull in Ahrefs Starter</x:v>
      </x:c>
      <x:c r="J17" s="13" t="str">
        <x:v>Goal: KD ≤10 OR unusually weak top-10 SERP</x:v>
      </x:c>
    </x:row>
    <x:row r="18">
      <x:c r="A18" s="13" t="str">
        <x:v>mysql formatter online</x:v>
      </x:c>
      <x:c r="B18" s="13" t="str">
        <x:v>sql formatter</x:v>
      </x:c>
      <x:c r="C18" s="13" t="str">
        <x:v>Developer Utilities</x:v>
      </x:c>
      <x:c r="D18" s="13"/>
      <x:c r="E18" s="13"/>
      <x:c r="F18" s="13" t="str">
        <x:v>No</x:v>
      </x:c>
      <x:c r="G18" s="13"/>
      <x:c r="H18" s="13" t="str">
        <x:v>Unknown</x:v>
      </x:c>
      <x:c r="I18" s="13" t="str">
        <x:v>Pull in Ahrefs Starter</x:v>
      </x:c>
      <x:c r="J18" s="13" t="str">
        <x:v>Goal: KD ≤10 OR unusually weak top-10 SERP</x:v>
      </x:c>
    </x:row>
    <x:row r="19">
      <x:c r="A19" s="13" t="str">
        <x:v>postgresql formatter online</x:v>
      </x:c>
      <x:c r="B19" s="13" t="str">
        <x:v>sql formatter</x:v>
      </x:c>
      <x:c r="C19" s="13" t="str">
        <x:v>Developer Utilities</x:v>
      </x:c>
      <x:c r="D19" s="13"/>
      <x:c r="E19" s="13"/>
      <x:c r="F19" s="13" t="str">
        <x:v>No</x:v>
      </x:c>
      <x:c r="G19" s="13"/>
      <x:c r="H19" s="13" t="str">
        <x:v>Unknown</x:v>
      </x:c>
      <x:c r="I19" s="13" t="str">
        <x:v>Pull in Ahrefs Starter</x:v>
      </x:c>
      <x:c r="J19" s="13" t="str">
        <x:v>Goal: KD ≤10 OR unusually weak top-10 SERP</x:v>
      </x:c>
    </x:row>
    <x:row r="20">
      <x:c r="A20" s="13" t="str">
        <x:v>aspect ratio calculator pixels</x:v>
      </x:c>
      <x:c r="B20" s="13" t="str">
        <x:v>aspect ratio calculator</x:v>
      </x:c>
      <x:c r="C20" s="13" t="str">
        <x:v>Media / Design</x:v>
      </x:c>
      <x:c r="D20" s="13"/>
      <x:c r="E20" s="13"/>
      <x:c r="F20" s="13" t="str">
        <x:v>No</x:v>
      </x:c>
      <x:c r="G20" s="13"/>
      <x:c r="H20" s="13" t="str">
        <x:v>Unknown</x:v>
      </x:c>
      <x:c r="I20" s="13" t="str">
        <x:v>Pull in Ahrefs Starter</x:v>
      </x:c>
      <x:c r="J20" s="13" t="str">
        <x:v>Goal: KD ≤10 OR unusually weak top-10 SERP</x:v>
      </x:c>
    </x:row>
    <x:row r="21">
      <x:c r="A21" s="13" t="str">
        <x:v>16 9 aspect ratio calculator</x:v>
      </x:c>
      <x:c r="B21" s="13" t="str">
        <x:v>aspect ratio calculator</x:v>
      </x:c>
      <x:c r="C21" s="13" t="str">
        <x:v>Media / Design</x:v>
      </x:c>
      <x:c r="D21" s="13"/>
      <x:c r="E21" s="13"/>
      <x:c r="F21" s="13" t="str">
        <x:v>No</x:v>
      </x:c>
      <x:c r="G21" s="13"/>
      <x:c r="H21" s="13" t="str">
        <x:v>Unknown</x:v>
      </x:c>
      <x:c r="I21" s="13" t="str">
        <x:v>Pull in Ahrefs Starter</x:v>
      </x:c>
      <x:c r="J21" s="13" t="str">
        <x:v>Goal: KD ≤10 OR unusually weak top-10 SERP</x:v>
      </x:c>
    </x:row>
    <x:row r="22">
      <x:c r="A22" s="13" t="str">
        <x:v>mulch cubic yards calculator</x:v>
      </x:c>
      <x:c r="B22" s="13" t="str">
        <x:v>mulch calculator</x:v>
      </x:c>
      <x:c r="C22" s="13" t="str">
        <x:v>Property / Landscaping</x:v>
      </x:c>
      <x:c r="D22" s="13"/>
      <x:c r="E22" s="13"/>
      <x:c r="F22" s="13" t="str">
        <x:v>No</x:v>
      </x:c>
      <x:c r="G22" s="13"/>
      <x:c r="H22" s="13" t="str">
        <x:v>Unknown</x:v>
      </x:c>
      <x:c r="I22" s="13" t="str">
        <x:v>Pull in Ahrefs Starter</x:v>
      </x:c>
      <x:c r="J22" s="13" t="str">
        <x:v>Goal: KD ≤10 OR unusually weak top-10 SERP</x:v>
      </x:c>
    </x:row>
    <x:row r="23">
      <x:c r="A23" s="13" t="str">
        <x:v>how much mulch do i need calculator</x:v>
      </x:c>
      <x:c r="B23" s="13" t="str">
        <x:v>mulch calculator</x:v>
      </x:c>
      <x:c r="C23" s="13" t="str">
        <x:v>Property / Landscaping</x:v>
      </x:c>
      <x:c r="D23" s="13"/>
      <x:c r="E23" s="13"/>
      <x:c r="F23" s="13" t="str">
        <x:v>No</x:v>
      </x:c>
      <x:c r="G23" s="13"/>
      <x:c r="H23" s="13" t="str">
        <x:v>Unknown</x:v>
      </x:c>
      <x:c r="I23" s="13" t="str">
        <x:v>Pull in Ahrefs Starter</x:v>
      </x:c>
      <x:c r="J23" s="13" t="str">
        <x:v>Goal: KD ≤10 OR unusually weak top-10 SERP</x:v>
      </x:c>
    </x:row>
    <x:row r="24">
      <x:c r="A24" s="13" t="str">
        <x:v>fence post spacing calculator</x:v>
      </x:c>
      <x:c r="B24" s="13" t="str">
        <x:v>fence calculator</x:v>
      </x:c>
      <x:c r="C24" s="13" t="str">
        <x:v>Property / Fencing</x:v>
      </x:c>
      <x:c r="D24" s="13"/>
      <x:c r="E24" s="13"/>
      <x:c r="F24" s="13" t="str">
        <x:v>No</x:v>
      </x:c>
      <x:c r="G24" s="13"/>
      <x:c r="H24" s="13" t="str">
        <x:v>Unknown</x:v>
      </x:c>
      <x:c r="I24" s="13" t="str">
        <x:v>Pull in Ahrefs Starter</x:v>
      </x:c>
      <x:c r="J24" s="13" t="str">
        <x:v>Goal: KD ≤10 OR unusually weak top-10 SERP</x:v>
      </x:c>
    </x:row>
    <x:row r="25">
      <x:c r="A25" s="13" t="str">
        <x:v>fence material calculator</x:v>
      </x:c>
      <x:c r="B25" s="13" t="str">
        <x:v>fence calculator</x:v>
      </x:c>
      <x:c r="C25" s="13" t="str">
        <x:v>Property / Fencing</x:v>
      </x:c>
      <x:c r="D25" s="13"/>
      <x:c r="E25" s="13"/>
      <x:c r="F25" s="13" t="str">
        <x:v>No</x:v>
      </x:c>
      <x:c r="G25" s="13"/>
      <x:c r="H25" s="13" t="str">
        <x:v>Unknown</x:v>
      </x:c>
      <x:c r="I25" s="13" t="str">
        <x:v>Pull in Ahrefs Starter</x:v>
      </x:c>
      <x:c r="J25" s="13" t="str">
        <x:v>Goal: KD ≤10 OR unusually weak top-10 SERP</x:v>
      </x:c>
    </x:row>
    <x:row r="26">
      <x:c r="A26" s="13" t="str">
        <x:v>picket spacing calculator</x:v>
      </x:c>
      <x:c r="B26" s="13" t="str">
        <x:v>fence calculator</x:v>
      </x:c>
      <x:c r="C26" s="13" t="str">
        <x:v>Property / Fencing</x:v>
      </x:c>
      <x:c r="D26" s="13"/>
      <x:c r="E26" s="13"/>
      <x:c r="F26" s="13" t="str">
        <x:v>No</x:v>
      </x:c>
      <x:c r="G26" s="13"/>
      <x:c r="H26" s="13" t="str">
        <x:v>Unknown</x:v>
      </x:c>
      <x:c r="I26" s="13" t="str">
        <x:v>Pull in Ahrefs Starter</x:v>
      </x:c>
      <x:c r="J26" s="13" t="str">
        <x:v>Goal: KD ≤10 OR unusually weak top-10 SERP</x:v>
      </x:c>
    </x:row>
    <x:row r="27">
      <x:c r="A27" s="13" t="str">
        <x:v>irregular room square footage calculator</x:v>
      </x:c>
      <x:c r="B27" s="13" t="str">
        <x:v>square footage calculator</x:v>
      </x:c>
      <x:c r="C27" s="13" t="str">
        <x:v>Property / Measurement</x:v>
      </x:c>
      <x:c r="D27" s="13"/>
      <x:c r="E27" s="13"/>
      <x:c r="F27" s="13" t="str">
        <x:v>No</x:v>
      </x:c>
      <x:c r="G27" s="13"/>
      <x:c r="H27" s="13" t="str">
        <x:v>Unknown</x:v>
      </x:c>
      <x:c r="I27" s="13" t="str">
        <x:v>Pull in Ahrefs Starter</x:v>
      </x:c>
      <x:c r="J27" s="13" t="str">
        <x:v>Goal: KD ≤10 OR unusually weak top-10 SERP</x:v>
      </x:c>
    </x:row>
    <x:row r="28">
      <x:c r="A28" s="13" t="str">
        <x:v>wall square footage calculator</x:v>
      </x:c>
      <x:c r="B28" s="13" t="str">
        <x:v>square footage calculator</x:v>
      </x:c>
      <x:c r="C28" s="13" t="str">
        <x:v>Property / Measurement</x:v>
      </x:c>
      <x:c r="D28" s="13"/>
      <x:c r="E28" s="13"/>
      <x:c r="F28" s="13" t="str">
        <x:v>No</x:v>
      </x:c>
      <x:c r="G28" s="13"/>
      <x:c r="H28" s="13" t="str">
        <x:v>Unknown</x:v>
      </x:c>
      <x:c r="I28" s="13" t="str">
        <x:v>Pull in Ahrefs Starter</x:v>
      </x:c>
      <x:c r="J28" s="13" t="str">
        <x:v>Goal: KD ≤10 OR unusually weak top-10 SERP</x:v>
      </x:c>
    </x:row>
    <x:row r="29">
      <x:c r="A29" s="13" t="str">
        <x:v>cabinet paint calculator</x:v>
      </x:c>
      <x:c r="B29" s="13" t="str">
        <x:v>paint calculator</x:v>
      </x:c>
      <x:c r="C29" s="13" t="str">
        <x:v>Property / Paint</x:v>
      </x:c>
      <x:c r="D29" s="13"/>
      <x:c r="E29" s="13"/>
      <x:c r="F29" s="13" t="str">
        <x:v>No</x:v>
      </x:c>
      <x:c r="G29" s="13"/>
      <x:c r="H29" s="13" t="str">
        <x:v>Unknown</x:v>
      </x:c>
      <x:c r="I29" s="13" t="str">
        <x:v>Pull in Ahrefs Starter</x:v>
      </x:c>
      <x:c r="J29" s="13" t="str">
        <x:v>Goal: KD ≤10 OR unusually weak top-10 SERP</x:v>
      </x:c>
    </x:row>
    <x:row r="30">
      <x:c r="A30" s="13" t="str">
        <x:v>ceiling paint calculator</x:v>
      </x:c>
      <x:c r="B30" s="13" t="str">
        <x:v>paint calculator</x:v>
      </x:c>
      <x:c r="C30" s="13" t="str">
        <x:v>Property / Paint</x:v>
      </x:c>
      <x:c r="D30" s="13"/>
      <x:c r="E30" s="13"/>
      <x:c r="F30" s="13" t="str">
        <x:v>No</x:v>
      </x:c>
      <x:c r="G30" s="13"/>
      <x:c r="H30" s="13" t="str">
        <x:v>Unknown</x:v>
      </x:c>
      <x:c r="I30" s="13" t="str">
        <x:v>Pull in Ahrefs Starter</x:v>
      </x:c>
      <x:c r="J30" s="13" t="str">
        <x:v>Goal: KD ≤10 OR unusually weak top-10 SERP</x:v>
      </x:c>
    </x:row>
    <x:row r="31">
      <x:c r="A31" s="13" t="str">
        <x:v>words from letters generator</x:v>
      </x:c>
      <x:c r="B31" s="13" t="str">
        <x:v>word unscrambler</x:v>
      </x:c>
      <x:c r="C31" s="13" t="str">
        <x:v>Word / Puzzle</x:v>
      </x:c>
      <x:c r="D31" s="13"/>
      <x:c r="E31" s="13"/>
      <x:c r="F31" s="13" t="str">
        <x:v>No</x:v>
      </x:c>
      <x:c r="G31" s="13"/>
      <x:c r="H31" s="13" t="str">
        <x:v>Unknown</x:v>
      </x:c>
      <x:c r="I31" s="13" t="str">
        <x:v>Pull in Ahrefs Starter</x:v>
      </x:c>
      <x:c r="J31" s="13" t="str">
        <x:v>Goal: KD ≤10 OR unusually weak top-10 SERP</x:v>
      </x:c>
    </x:row>
    <x:row r="32">
      <x:c r="A32" s="13" t="str">
        <x:v>7 letter word unscrambler</x:v>
      </x:c>
      <x:c r="B32" s="13" t="str">
        <x:v>word unscrambler</x:v>
      </x:c>
      <x:c r="C32" s="13" t="str">
        <x:v>Word / Puzzle</x:v>
      </x:c>
      <x:c r="D32" s="13"/>
      <x:c r="E32" s="13"/>
      <x:c r="F32" s="13" t="str">
        <x:v>No</x:v>
      </x:c>
      <x:c r="G32" s="13"/>
      <x:c r="H32" s="13" t="str">
        <x:v>Unknown</x:v>
      </x:c>
      <x:c r="I32" s="13" t="str">
        <x:v>Pull in Ahrefs Starter</x:v>
      </x:c>
      <x:c r="J32" s="13" t="str">
        <x:v>Goal: KD ≤10 OR unusually weak top-10 SERP</x:v>
      </x:c>
    </x:row>
  </x:sheetData>
  <x:dataValidations count="3">
    <x:dataValidation type="list" sqref="F2:F32">
      <x:formula1>"No,Yes"</x:formula1>
    </x:dataValidation>
    <x:dataValidation type="list" sqref="H2:H32">
      <x:formula1>"Unknown,No,Yes"</x:formula1>
    </x:dataValidation>
    <x:dataValidation type="list" sqref="I2:I32">
      <x:formula1>"Pull in Ahrefs Starter,Research first,Build,Watch,Skip"</x:formula1>
    </x:dataValidation>
  </x:dataValidations>
  <x:pageMargins left="0.7" right="0.7" top="0.75" bottom="0.75" header="0.3" footer="0.3"/>
  <x:tableParts count="1">
    <x:tablePart xmlns:r="http://schemas.openxmlformats.org/officeDocument/2006/relationships" r:id="R4ae237a1274e438a"/>
  </x:tableParts>
</x:worksheet>
</file>

<file path=xl/worksheets/sheet5.xml><?xml version="1.0" encoding="utf-8"?>
<x:worksheet xmlns:x="http://schemas.openxmlformats.org/spreadsheetml/2006/main">
  <x:sheetFormatPr defaultRowHeight="15"/>
  <x:cols>
    <x:col min="1" max="1" width="30" hidden="0" customWidth="1"/>
    <x:col min="2" max="2" width="34" hidden="0" customWidth="1"/>
    <x:col min="3" max="3" width="42" hidden="0" customWidth="1"/>
    <x:col min="4" max="4" width="34" hidden="0" customWidth="1"/>
    <x:col min="5" max="5" width="48" hidden="0" customWidth="1"/>
    <x:col min="6" max="6" width="24" hidden="0" customWidth="1"/>
  </x:cols>
  <x:sheetData>
    <x:row r="1">
      <x:c r="A1" s="72" t="str">
        <x:v>How to see the actual search term, difficulty and SERP yourself</x:v>
      </x:c>
    </x:row>
    <x:row r="3">
      <x:c r="A3" s="76" t="str">
        <x:v>Option</x:v>
      </x:c>
      <x:c r="B3" s="76" t="str">
        <x:v>Cost</x:v>
      </x:c>
      <x:c r="C3" s="76" t="str">
        <x:v>What you can see</x:v>
      </x:c>
      <x:c r="D3" s="76" t="str">
        <x:v>Best use</x:v>
      </x:c>
      <x:c r="E3" s="76" t="str">
        <x:v>URL</x:v>
      </x:c>
      <x:c r="F3" s="76" t="str">
        <x:v>Recommendation</x:v>
      </x:c>
    </x:row>
    <x:row r="4">
      <x:c r="A4" s="13" t="str">
        <x:v>Ahrefs Free Keyword Generator</x:v>
      </x:c>
      <x:c r="B4" s="13" t="str">
        <x:v>Free</x:v>
      </x:c>
      <x:c r="C4" s="13" t="str">
        <x:v>Keyword ideas + volume estimates + KD on available results</x:v>
      </x:c>
      <x:c r="D4" s="13" t="str">
        <x:v>Manual discovery / spot checks</x:v>
      </x:c>
      <x:c r="E4" s="13" t="str">
        <x:v>https://ahrefs.com/keyword-generator</x:v>
      </x:c>
      <x:c r="F4" s="13" t="str">
        <x:v>Use now</x:v>
      </x:c>
    </x:row>
    <x:row r="5">
      <x:c r="A5" s="13" t="str">
        <x:v>Ahrefs SERP Checker</x:v>
      </x:c>
      <x:c r="B5" s="13" t="str">
        <x:v>Free</x:v>
      </x:c>
      <x:c r="C5" s="13" t="str">
        <x:v>Top Google results + DR, UR, backlinks, referring domains, traffic estimates</x:v>
      </x:c>
      <x:c r="D5" s="13" t="str">
        <x:v>Is the SERP actually weak?</x:v>
      </x:c>
      <x:c r="E5" s="13" t="str">
        <x:v>https://ahrefs.com/serp-checker</x:v>
      </x:c>
      <x:c r="F5" s="13" t="str">
        <x:v>Use now</x:v>
      </x:c>
    </x:row>
    <x:row r="6">
      <x:c r="A6" s="13" t="str">
        <x:v>Google Keyword Planner</x:v>
      </x:c>
      <x:c r="B6" s="13" t="str">
        <x:v>Free with Google Ads account setup</x:v>
      </x:c>
      <x:c r="C6" s="13" t="str">
        <x:v>Keyword ideas, historical volume and bid estimates</x:v>
      </x:c>
      <x:c r="D6" s="13" t="str">
        <x:v>Demand/commercial-intent check</x:v>
      </x:c>
      <x:c r="E6" s="13" t="str">
        <x:v>https://business.google.com/us/ad-tools/keyword-planner/</x:v>
      </x:c>
      <x:c r="F6" s="13" t="str">
        <x:v>Use now</x:v>
      </x:c>
    </x:row>
    <x:row r="7">
      <x:c r="A7" s="13" t="str">
        <x:v>Ahrefs Starter</x:v>
      </x:c>
      <x:c r="B7" s="13" t="str">
        <x:v>$29/month current</x:v>
      </x:c>
      <x:c r="C7" s="13" t="str">
        <x:v>Keywords Explorer + Site Explorer + 200 credits/month</x:v>
      </x:c>
      <x:c r="D7" s="13" t="str">
        <x:v>Systematic long-tail KD hunting</x:v>
      </x:c>
      <x:c r="E7" s="13" t="str">
        <x:v>https://ahrefs.com/pricing</x:v>
      </x:c>
      <x:c r="F7" s="13" t="str">
        <x:v>Best paid first month</x:v>
      </x:c>
    </x:row>
    <x:row r="10">
      <x:c r="A10" s="17" t="str">
        <x:v>Recommended research rule</x:v>
      </x:c>
    </x:row>
    <x:row r="11">
      <x:c r="A11" s="13" t="str">
        <x:v>1. Start with a broad seed: counter, converter, calculator, generator, formatter, planner, checker.</x:v>
      </x:c>
    </x:row>
    <x:row r="12">
      <x:c r="A12" s="13" t="str">
        <x:v>2. Expand into actual search terms and long tails. Low KD is useful, but KD ≤10 is not a mandatory gate.</x:v>
      </x:c>
    </x:row>
    <x:row r="13">
      <x:c r="A13" s="13" t="str">
        <x:v>3. Inspect the actual top-10 SERP. Record DR/UR/backlinks and whether a new or niche site is already winning.</x:v>
      </x:c>
    </x:row>
    <x:row r="14">
      <x:c r="A14" s="13" t="str">
        <x:v>4. Score intent purity: does the searcher clearly want a tool rather than an article, product or app?</x:v>
      </x:c>
    </x:row>
    <x:row r="15">
      <x:c r="A15" s="13" t="str">
        <x:v>5. Penalize zero-click risk: can Google or an AI answer the query directly without your page?</x:v>
      </x:c>
    </x:row>
    <x:row r="16">
      <x:c r="A16" s="13" t="str">
        <x:v>6. Prefer client-side utilities with near-zero marginal cost and recurring use.</x:v>
      </x:c>
    </x:row>
    <x:row r="17">
      <x:c r="A17" s="13" t="str">
        <x:v>7. Prefer clusters: build one reusable ToolShell that can launch many related tools.</x:v>
      </x:c>
    </x:row>
    <x:row r="18">
      <x:c r="A18" s="13" t="str">
        <x:v>8. Build only after the SERP—not the KD score alone—shows a credible path.</x:v>
      </x:c>
    </x:row>
    <x:row r="21">
      <x:c r="A21" s="79" t="str">
        <x:v>Metric warning</x:v>
      </x:c>
    </x:row>
    <x:row r="22">
      <x:c r="A22" s="84" t="str">
        <x:v>Rows labeled “KDROI public estimate” use public third-party estimates so the workbook is useful now. They are NOT Ahrefs or Google values. KD is not a Google metric and every provider computes it differently. Validate finalists in one consistent source before spending build time.</x:v>
      </x:c>
    </x:row>
    <x:row r="27">
      <x:c r="A27" s="74" t="str">
        <x:v>Primary methodology sources</x:v>
      </x:c>
    </x:row>
    <x:row r="28">
      <x:c r="A28" s="88" t="str">
        <x:v>Ahrefs pricing / Starter</x:v>
      </x:c>
      <x:c r="B28" t="str">
        <x:v>https://ahrefs.com/pricing</x:v>
      </x:c>
    </x:row>
    <x:row r="29">
      <x:c r="A29" s="88" t="str">
        <x:v>Ahrefs Starter details</x:v>
      </x:c>
      <x:c r="B29" t="str">
        <x:v>https://ahrefs.com/blog/starter-plan/</x:v>
      </x:c>
    </x:row>
    <x:row r="30">
      <x:c r="A30" s="88" t="str">
        <x:v>Ahrefs Keyword Generator</x:v>
      </x:c>
      <x:c r="B30" t="str">
        <x:v>https://ahrefs.com/keyword-generator</x:v>
      </x:c>
    </x:row>
    <x:row r="31">
      <x:c r="A31" s="88" t="str">
        <x:v>Ahrefs SERP Checker</x:v>
      </x:c>
      <x:c r="B31" t="str">
        <x:v>https://ahrefs.com/serp-checker</x:v>
      </x:c>
    </x:row>
    <x:row r="32">
      <x:c r="A32" s="88" t="str">
        <x:v>Google Keyword Planner</x:v>
      </x:c>
      <x:c r="B32" t="str">
        <x:v>https://business.google.com/us/ad-tools/keyword-planner/</x:v>
      </x:c>
    </x:row>
  </x:sheetData>
  <x:mergeCells>
    <x:mergeCell ref="A1:F1"/>
    <x:mergeCell ref="A10:F10"/>
    <x:mergeCell ref="A11:F11"/>
    <x:mergeCell ref="A12:F12"/>
    <x:mergeCell ref="A13:F13"/>
    <x:mergeCell ref="A14:F14"/>
    <x:mergeCell ref="A15:F15"/>
    <x:mergeCell ref="A16:F16"/>
    <x:mergeCell ref="A17:F17"/>
    <x:mergeCell ref="A18:F18"/>
    <x:mergeCell ref="A21:F21"/>
    <x:mergeCell ref="A22:F24"/>
    <x:mergeCell ref="A27:F27"/>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7" hidden="0" customWidth="1"/>
    <x:col min="3" max="3" width="42" hidden="0" customWidth="1"/>
    <x:col min="4" max="4" width="34" hidden="0" customWidth="1"/>
    <x:col min="5" max="5" width="31" hidden="0" customWidth="1"/>
    <x:col min="6" max="6" width="42" hidden="0" customWidth="1"/>
    <x:col min="7" max="7" width="44" hidden="0" customWidth="1"/>
    <x:col min="8" max="8" width="24" hidden="0" customWidth="1"/>
  </x:cols>
  <x:sheetData>
    <x:row r="1" ht="28" customHeight="1">
      <x:c r="A1" s="98" t="str">
        <x:v>TRIAL RUN IDEA — KEYWORD / SERP RESEARCH SUMMARY</x:v>
      </x:c>
      <x:c r="B1" s="98"/>
      <x:c r="C1" s="98"/>
      <x:c r="D1" s="98"/>
      <x:c r="E1" s="98"/>
      <x:c r="F1" s="98"/>
      <x:c r="G1" s="98"/>
      <x:c r="H1" s="98"/>
    </x:row>
    <x:row r="2" ht="34" customHeight="1">
      <x:c r="A2" s="102" t="str">
        <x:v>What changed: the 'job packet' is NOT the keyword. We rank for the homeowner's actual live problem, solve the first need immediately, then generate the provider-ready packet as the unexpected second value. The calculator track is a separate evergreen acquisition layer that can stay permanently.</x:v>
      </x:c>
      <x:c r="B2" s="102"/>
      <x:c r="C2" s="102"/>
      <x:c r="D2" s="102"/>
      <x:c r="E2" s="102"/>
      <x:c r="F2" s="102"/>
      <x:c r="G2" s="102"/>
      <x:c r="H2" s="102"/>
    </x:row>
    <x:row r="4" ht="34" customHeight="1">
      <x:c r="A4" s="108" t="str">
        <x:v>Track</x:v>
      </x:c>
      <x:c r="B4" s="108" t="str">
        <x:v>Priority Finding</x:v>
      </x:c>
      <x:c r="C4" s="108" t="str">
        <x:v>Why It Matters</x:v>
      </x:c>
      <x:c r="D4" s="108" t="str">
        <x:v>Public Demand Signal</x:v>
      </x:c>
      <x:c r="E4" s="108" t="str">
        <x:v>Difficulty Signal</x:v>
      </x:c>
      <x:c r="F4" s="108" t="str">
        <x:v>Live SERP Signal</x:v>
      </x:c>
      <x:c r="G4" s="108" t="str">
        <x:v>What We Would Build</x:v>
      </x:c>
      <x:c r="H4" s="108" t="str">
        <x:v>Decision</x:v>
      </x:c>
    </x:row>
    <x:row r="5" ht="62" customHeight="1">
      <x:c r="A5" s="113" t="str">
        <x:v>Problem intent</x:v>
      </x:c>
      <x:c r="B5" s="113" t="str">
        <x:v>AC symptom cluster</x:v>
      </x:c>
      <x:c r="C5" s="113" t="str">
        <x:v>This is the clearest proof-of-concept cluster because multiple exact symptoms have reported single-digit KD.</x:v>
      </x:c>
      <x:c r="D5" s="113" t="str">
        <x:v>AC not turning on 3,300; furnace blowing cold air 2,700; AC freezing up 2,000; AC blowing warm air 1,700; why AC not cooling 1,300.</x:v>
      </x:c>
      <x:c r="E5" s="113" t="str">
        <x:v>Reported SEO KD 0–3 on the five strongest HVAC phrases (public dataset; verify).</x:v>
      </x:c>
      <x:c r="F5" s="113" t="str">
        <x:v>Mixed manufacturer + Reddit + local contractor pages; not an all-giant SERP.</x:v>
      </x:c>
      <x:c r="G5" s="113" t="str">
        <x:v>One reusable 'What do I do?' engine with symptom-specific landing pages and branching questions.</x:v>
      </x:c>
      <x:c r="H5" s="113" t="str">
        <x:v>FIRST BUILD CANDIDATE</x:v>
      </x:c>
    </x:row>
    <x:row r="6" ht="62" customHeight="1">
      <x:c r="A6" s="118" t="str">
        <x:v>Problem intent</x:v>
      </x:c>
      <x:c r="B6" s="118" t="str">
        <x:v>Water leaking from ceiling</x:v>
      </x:c>
      <x:c r="C6" s="118" t="str">
        <x:v>Even without public metrics yet, the actual SERP is unusually attractive and the problem has very high urgency.</x:v>
      </x:c>
      <x:c r="D6" s="118" t="str">
        <x:v>Exact volume not yet found cleanly.</x:v>
      </x:c>
      <x:c r="E6" s="118" t="str">
        <x:v>Unknown — must pull.</x:v>
      </x:c>
      <x:c r="F6" s="118" t="str">
        <x:v>Reddit + small/local roof/home-service pages rank for exact symptom; multiple fresh pages.</x:v>
      </x:c>
      <x:c r="G6" s="118" t="str">
        <x:v>Immediate damage-control triage → plumber vs roofer logic → photo/details → provider-ready leak packet.</x:v>
      </x:c>
      <x:c r="H6" s="118" t="str">
        <x:v>AHREFS PRIORITY #1 UNKNOWN</x:v>
      </x:c>
    </x:row>
    <x:row r="7" ht="62" customHeight="1">
      <x:c r="A7" s="113" t="str">
        <x:v>Problem intent</x:v>
      </x:c>
      <x:c r="B7" s="113" t="str">
        <x:v>Water heater leaking from bottom</x:v>
      </x:c>
      <x:c r="C7" s="113" t="str">
        <x:v>Very specific symptom, high reported search demand, and easy contractor handoff.</x:v>
      </x:c>
      <x:c r="D7" s="113" t="str">
        <x:v>8,100 global searches in public Ads dataset; water heater leaking 9,900 in separate SEO dataset.</x:v>
      </x:c>
      <x:c r="E7" s="113" t="str">
        <x:v>Exact SEO KD unknown for 'from bottom'; parent 'water heater leaking' reported KD 35.</x:v>
      </x:c>
      <x:c r="F7" s="113" t="str">
        <x:v>Reddit + fresh local contractor pages surfaced.</x:v>
      </x:c>
      <x:c r="G7" s="113" t="str">
        <x:v>Leak-location decision tree + safe shutoff guidance + water-heater details + packet.</x:v>
      </x:c>
      <x:c r="H7" s="113" t="str">
        <x:v>STRONG TEST</x:v>
      </x:c>
    </x:row>
    <x:row r="8" ht="62" customHeight="1">
      <x:c r="A8" s="118" t="str">
        <x:v>Problem intent</x:v>
      </x:c>
      <x:c r="B8" s="118" t="str">
        <x:v>Garage door won't close</x:v>
      </x:c>
      <x:c r="C8" s="118" t="str">
        <x:v>Search is exactly a homeowner problem; tool can ask sensor/light/reversal questions and create a useful repair brief.</x:v>
      </x:c>
      <x:c r="D8" s="118" t="str">
        <x:v>2,400 public monthly search estimate.</x:v>
      </x:c>
      <x:c r="E8" s="118" t="str">
        <x:v>SEO KD not exposed in public source.</x:v>
      </x:c>
      <x:c r="F8" s="118" t="str">
        <x:v>Reddit + Chamberlain + small/local door businesses including a fresh 2026 page.</x:v>
      </x:c>
      <x:c r="G8" s="118" t="str">
        <x:v>Fast troubleshooting tree → photos + behavior → repair packet.</x:v>
      </x:c>
      <x:c r="H8" s="118" t="str">
        <x:v>STRONG TEST</x:v>
      </x:c>
    </x:row>
    <x:row r="9" ht="62" customHeight="1">
      <x:c r="A9" s="113" t="str">
        <x:v>Calculator</x:v>
      </x:c>
      <x:c r="B9" s="113" t="str">
        <x:v>Driveway gravel calculator</x:v>
      </x:c>
      <x:c r="C9" s="113" t="str">
        <x:v>This is the cleanest calculator gap found in this pass.</x:v>
      </x:c>
      <x:c r="D9" s="113" t="str">
        <x:v>2,900 US monthly in Google Ads API source.</x:v>
      </x:c>
      <x:c r="E9" s="113" t="str">
        <x:v>Ads competition 0.02; SEO KD still unknown.</x:v>
      </x:c>
      <x:c r="F9" s="113" t="str">
        <x:v>New specialist calculator + local supplier + new 2026 calculator pages surface.</x:v>
      </x:c>
      <x:c r="G9" s="113" t="str">
        <x:v>Two-layer driveway base/top calculator with tons, yards, local price/ZIP and downloadable shopping/job worksheet.</x:v>
      </x:c>
      <x:c r="H9" s="113" t="str">
        <x:v>FIRST CALCULATOR TEST</x:v>
      </x:c>
    </x:row>
    <x:row r="10" ht="62" customHeight="1">
      <x:c r="A10" s="118" t="str">
        <x:v>Calculator</x:v>
      </x:c>
      <x:c r="B10" s="118" t="str">
        <x:v>Fence material calculator</x:v>
      </x:c>
      <x:c r="C10" s="118" t="str">
        <x:v>Low-volume compared with head terms, but SERP weakness is exactly what your method is hunting.</x:v>
      </x:c>
      <x:c r="D10" s="118" t="str">
        <x:v>1,000 US monthly public estimate.</x:v>
      </x:c>
      <x:c r="E10" s="118" t="str">
        <x:v>SEO KD not exposed.</x:v>
      </x:c>
      <x:c r="F10" s="118" t="str">
        <x:v>Recently crawled exact-purpose specialist/supplier calculators surface.</x:v>
      </x:c>
      <x:c r="G10" s="118" t="str">
        <x:v>Posts + panels/pickets + rails + concrete + gates + downloadable takeoff.</x:v>
      </x:c>
      <x:c r="H10" s="118" t="str">
        <x:v>SECOND CALCULATOR TEST</x:v>
      </x:c>
    </x:row>
    <x:row r="11" ht="62" customHeight="1">
      <x:c r="A11" s="113" t="str">
        <x:v>Calculator</x:v>
      </x:c>
      <x:c r="B11" s="113" t="str">
        <x:v>Concrete slab calculator</x:v>
      </x:c>
      <x:c r="C11" s="113" t="str">
        <x:v>Much larger search demand than expected and supplier calculators can rank.</x:v>
      </x:c>
      <x:c r="D11" s="113" t="str">
        <x:v>49,500 avg monthly public estimate.</x:v>
      </x:c>
      <x:c r="E11" s="113" t="str">
        <x:v>Google Ads competition Low; NOT SEO KD.</x:v>
      </x:c>
      <x:c r="F11" s="113" t="str">
        <x:v>Ready-mix and building-supply calculators appear, not just large calculator brands.</x:v>
      </x:c>
      <x:c r="G11" s="113" t="str">
        <x:v>Slab yards/bags/waste + local delivery/quote worksheet.</x:v>
      </x:c>
      <x:c r="H11" s="113" t="str">
        <x:v>VALIDATE IMMEDIATELY</x:v>
      </x:c>
    </x:row>
    <x:row r="12" ht="62" customHeight="1">
      <x:c r="A12" s="118" t="str">
        <x:v>Calculator</x:v>
      </x:c>
      <x:c r="B12" s="118" t="str">
        <x:v>Paint calculator</x:v>
      </x:c>
      <x:c r="C12" s="118" t="str">
        <x:v>Good example of what NOT to choose first: big demand alone is insufficient.</x:v>
      </x:c>
      <x:c r="D12" s="118" t="str">
        <x:v>18,100 Semrush public volume.</x:v>
      </x:c>
      <x:c r="E12" s="118" t="str">
        <x:v>SEO KD not exposed.</x:v>
      </x:c>
      <x:c r="F12" s="118" t="str">
        <x:v>Brand-heavy: Behr, Sherwin-Williams, Lowe's, Benjamin Moore.</x:v>
      </x:c>
      <x:c r="G12" s="118" t="str">
        <x:v>Can build later for completeness, but not a ranking proof test.</x:v>
      </x:c>
      <x:c r="H12" s="118" t="str">
        <x:v>DEPRIORITIZE</x:v>
      </x:c>
    </x:row>
    <x:row r="14">
      <x:c r="A14" s="128" t="str">
        <x:v>Recommended tiny test architecture</x:v>
      </x:c>
      <x:c r="B14" s="128"/>
      <x:c r="C14" s="128"/>
      <x:c r="D14" s="128"/>
      <x:c r="E14" s="128"/>
      <x:c r="F14" s="128"/>
      <x:c r="G14" s="128"/>
      <x:c r="H14" s="128"/>
    </x:row>
    <x:row r="15" ht="24" customHeight="1">
      <x:c r="A15" s="133" t="str">
        <x:v>1) Start with ONE reusable problem engine, but publish 5 symptom-specific permanent URLs in the HVAC cluster. Each page answers the immediate problem before asking for anything: safe checks → 3–6 branching questions → 'what this most likely means / what kind of pro handles it / what to do next.' 2) Then offer the hidden value: 'Want this packaged so you don't have to explain it all again?' → downloadable/email-ready contractor packet. 3) In parallel, publish ONE calculator where the SERP itself is weak (driveway gravel is currently the cleanest candidate). 4) Every interaction can optionally ask ZIP/project facts only when those inputs improve the output. That is how the Living Local Data Layer grows without asking users to fill a survey for us. 5) Do not expand beyond these until Search Console shows impressions/queries and we have the exact Ahrefs top-10 authority data.</x:v>
      </x:c>
      <x:c r="B15" s="133"/>
      <x:c r="C15" s="133"/>
      <x:c r="D15" s="133"/>
      <x:c r="E15" s="133"/>
      <x:c r="F15" s="133"/>
      <x:c r="G15" s="133"/>
      <x:c r="H15" s="133"/>
    </x:row>
    <x:row r="16" ht="24" customHeight="1">
      <x:c r="A16" s="133"/>
      <x:c r="B16" s="133"/>
      <x:c r="C16" s="133"/>
      <x:c r="D16" s="133"/>
      <x:c r="E16" s="133"/>
      <x:c r="F16" s="133"/>
      <x:c r="G16" s="133"/>
      <x:c r="H16" s="133"/>
    </x:row>
    <x:row r="17" ht="24" customHeight="1">
      <x:c r="A17" s="133"/>
      <x:c r="B17" s="133"/>
      <x:c r="C17" s="133"/>
      <x:c r="D17" s="133"/>
      <x:c r="E17" s="133"/>
      <x:c r="F17" s="133"/>
      <x:c r="G17" s="133"/>
      <x:c r="H17" s="133"/>
    </x:row>
    <x:row r="18" ht="24" customHeight="1">
      <x:c r="A18" s="133"/>
      <x:c r="B18" s="133"/>
      <x:c r="C18" s="133"/>
      <x:c r="D18" s="133"/>
      <x:c r="E18" s="133"/>
      <x:c r="F18" s="133"/>
      <x:c r="G18" s="133"/>
      <x:c r="H18" s="133"/>
    </x:row>
    <x:row r="19" ht="24" customHeight="1">
      <x:c r="A19" s="133"/>
      <x:c r="B19" s="133"/>
      <x:c r="C19" s="133"/>
      <x:c r="D19" s="133"/>
      <x:c r="E19" s="133"/>
      <x:c r="F19" s="133"/>
      <x:c r="G19" s="133"/>
      <x:c r="H19" s="133"/>
    </x:row>
  </x:sheetData>
  <x:mergeCells>
    <x:mergeCell ref="A1:H1"/>
    <x:mergeCell ref="A2:H2"/>
    <x:mergeCell ref="A14:H14"/>
    <x:mergeCell ref="A15:H19"/>
  </x:mergeCells>
  <x:pageMargins left="0.7" right="0.7" top="0.75" bottom="0.75" header="0.3" footer="0.3"/>
</x:worksheet>
</file>

<file path=xl/worksheets/sheet7.xml><?xml version="1.0" encoding="utf-8"?>
<x:worksheet xmlns:x="http://schemas.openxmlformats.org/spreadsheetml/2006/main">
  <x:sheetFormatPr defaultRowHeight="15"/>
  <x:cols>
    <x:col min="1" max="1" width="9" hidden="0" customWidth="1"/>
    <x:col min="2" max="2" width="12" hidden="0" customWidth="1"/>
    <x:col min="3" max="3" width="23" hidden="0" customWidth="1"/>
    <x:col min="4" max="4" width="34" hidden="0" customWidth="1"/>
    <x:col min="5" max="5" width="12" hidden="0" customWidth="1"/>
    <x:col min="6" max="6" width="9" hidden="0" customWidth="1"/>
    <x:col min="7" max="7" width="27" hidden="0" customWidth="1"/>
    <x:col min="8" max="8" width="10" hidden="0" customWidth="1"/>
    <x:col min="9" max="9" width="34" hidden="0" customWidth="1"/>
    <x:col min="10" max="10" width="10" hidden="0" customWidth="1"/>
    <x:col min="11" max="11" width="46" hidden="0" customWidth="1"/>
    <x:col min="12" max="12" width="10" hidden="0" customWidth="1"/>
    <x:col min="13" max="13" width="10" hidden="0" customWidth="1"/>
    <x:col min="14" max="14" width="9" hidden="0" customWidth="1"/>
    <x:col min="15" max="15" width="13" hidden="0" customWidth="1"/>
    <x:col min="16" max="16" width="13" hidden="0" customWidth="1"/>
    <x:col min="17" max="17" width="18" hidden="0" customWidth="1"/>
    <x:col min="18" max="18" width="24" hidden="0" customWidth="1"/>
    <x:col min="19" max="19" width="48" hidden="0" customWidth="1"/>
    <x:col min="20" max="20" width="12" hidden="0" customWidth="1"/>
  </x:cols>
  <x:sheetData>
    <x:row r="1" ht="28" customHeight="1">
      <x:c r="A1" s="98" t="str">
        <x:v>TRIAL RUN — HOME CALCULATOR KEYWORD &amp; SERP GAPS</x:v>
      </x:c>
      <x:c r="B1" s="98"/>
      <x:c r="C1" s="98"/>
      <x:c r="D1" s="98"/>
      <x:c r="E1" s="98"/>
      <x:c r="F1" s="98"/>
      <x:c r="G1" s="98"/>
      <x:c r="H1" s="98"/>
      <x:c r="I1" s="98"/>
      <x:c r="J1" s="98"/>
      <x:c r="K1" s="98"/>
      <x:c r="L1" s="98"/>
      <x:c r="M1" s="98"/>
      <x:c r="N1" s="98"/>
      <x:c r="O1" s="98"/>
      <x:c r="P1" s="98"/>
      <x:c r="Q1" s="98"/>
      <x:c r="R1" s="98"/>
      <x:c r="S1" s="98"/>
      <x:c r="T1" s="98"/>
    </x:row>
    <x:row r="2" ht="34" customHeight="1">
      <x:c r="A2" s="102" t="str">
        <x:v>Purpose: find evergreen home-project tools that are useful on their own, can rank before the provider network exists, and later feed Property Response. IMPORTANT: Google Ads 'competition' is NOT SEO keyword difficulty; any blank SEO KD still needs an Ahrefs/Semrush pull.</x:v>
      </x:c>
      <x:c r="B2" s="102"/>
      <x:c r="C2" s="102"/>
      <x:c r="D2" s="102"/>
      <x:c r="E2" s="102"/>
      <x:c r="F2" s="102"/>
      <x:c r="G2" s="102"/>
      <x:c r="H2" s="102"/>
      <x:c r="I2" s="102"/>
      <x:c r="J2" s="102"/>
      <x:c r="K2" s="102"/>
      <x:c r="L2" s="102"/>
      <x:c r="M2" s="102"/>
      <x:c r="N2" s="102"/>
      <x:c r="O2" s="102"/>
      <x:c r="P2" s="102"/>
      <x:c r="Q2" s="102"/>
      <x:c r="R2" s="102"/>
      <x:c r="S2" s="102"/>
      <x:c r="T2" s="102"/>
    </x:row>
    <x:row r="4" ht="34" customHeight="1">
      <x:c r="A4" s="108" t="str">
        <x:v>Research
Priority</x:v>
      </x:c>
      <x:c r="B4" s="108" t="str">
        <x:v>Cluster</x:v>
      </x:c>
      <x:c r="C4" s="108" t="str">
        <x:v>Search Term</x:v>
      </x:c>
      <x:c r="D4" s="108" t="str">
        <x:v>Tool / Customer Value</x:v>
      </x:c>
      <x:c r="E4" s="108" t="str">
        <x:v>Monthly Volume
(public est.)</x:v>
      </x:c>
      <x:c r="F4" s="108" t="str">
        <x:v>SEO KD
(public est.)</x:v>
      </x:c>
      <x:c r="G4" s="108" t="str">
        <x:v>Difficulty / Competition Type</x:v>
      </x:c>
      <x:c r="H4" s="108" t="str">
        <x:v>CPC
(public est.)</x:v>
      </x:c>
      <x:c r="I4" s="108" t="str">
        <x:v>Metric Source URL</x:v>
      </x:c>
      <x:c r="J4" s="108" t="str">
        <x:v>SERP Gap
1–5</x:v>
      </x:c>
      <x:c r="K4" s="108" t="str">
        <x:v>SERP Gap Evidence</x:v>
      </x:c>
      <x:c r="L4" s="108" t="str">
        <x:v>Build Ease
1–5</x:v>
      </x:c>
      <x:c r="M4" s="108" t="str">
        <x:v>Evergreen
1–5</x:v>
      </x:c>
      <x:c r="N4" s="108" t="str">
        <x:v>PR Fit
1–5</x:v>
      </x:c>
      <x:c r="O4" s="108" t="str">
        <x:v>Local Data Value
1–5</x:v>
      </x:c>
      <x:c r="P4" s="108" t="str">
        <x:v>Opportunity Score</x:v>
      </x:c>
      <x:c r="Q4" s="108" t="str">
        <x:v>Tier</x:v>
      </x:c>
      <x:c r="R4" s="108" t="str">
        <x:v>Recommendation</x:v>
      </x:c>
      <x:c r="S4" s="108" t="str">
        <x:v>SERP Example URLs</x:v>
      </x:c>
      <x:c r="T4" s="108" t="str">
        <x:v>Research Date</x:v>
      </x:c>
    </x:row>
    <x:row r="5" ht="62" customHeight="1">
      <x:c r="A5" s="113" t="n">
        <x:v>1</x:v>
      </x:c>
      <x:c r="B5" s="113" t="str">
        <x:v>Concrete</x:v>
      </x:c>
      <x:c r="C5" s="113" t="str">
        <x:v>concrete calculator</x:v>
      </x:c>
      <x:c r="D5" s="113" t="str">
        <x:v>Concrete quantity + bags + project worksheet</x:v>
      </x:c>
      <x:c r="E5" s="119" t="n">
        <x:v>550000</x:v>
      </x:c>
      <x:c r="F5" s="127"/>
      <x:c r="G5" s="113" t="str">
        <x:v>Google Ads competition: Low (NOT SEO KD)</x:v>
      </x:c>
      <x:c r="H5" s="123"/>
      <x:c r="I5" s="113" t="str">
        <x:v>https://marketkeep.com/seo-keywords-for-concrete-contractors/</x:v>
      </x:c>
      <x:c r="J5" s="113" t="n">
        <x:v>2</x:v>
      </x:c>
      <x:c r="K5" s="113" t="str">
        <x:v>Huge demand, but head SERP includes established calculator/concrete publishers. Use as cluster hub, not first proof-of-ranking target.</x:v>
      </x:c>
      <x:c r="L5" s="113" t="n">
        <x:v>5</x:v>
      </x:c>
      <x:c r="M5" s="113" t="n">
        <x:v>5</x:v>
      </x:c>
      <x:c r="N5" s="113" t="n">
        <x:v>5</x:v>
      </x:c>
      <x:c r="O5" s="113" t="n">
        <x:v>5</x:v>
      </x:c>
      <x:c r="P5" s="113" t="n">
        <x:f>ROUND(MIN(E5,50000)/50000*20+IF(ISNUMBER(F5),(60-MIN(F5,60))/60*15,7.5)+J5*4+L5*2+M5*2+N5*2+O5*3,0)</x:f>
        <x:v>81</x:v>
      </x:c>
      <x:c r="Q5" s="113" t="str">
        <x:f>IF(P5&gt;=80,"A — Research/Build",IF(P5&gt;=70,"B — Validate","C — Later"))</x:f>
        <x:v>A — Research/Build</x:v>
      </x:c>
      <x:c r="R5" s="113" t="str">
        <x:v>BUILD LATER / CLUSTER HUB</x:v>
      </x:c>
      <x:c r="S5" s="113" t="str">
        <x:v>https://www.concretenetwork.com/concrete/howmuch/calculator.htm ; https://mudmixer.com/pages/concrete-calculator</x:v>
      </x:c>
      <x:c r="T5" s="125" t="n">
        <x:v>46244</x:v>
      </x:c>
    </x:row>
    <x:row r="6" ht="62" customHeight="1">
      <x:c r="A6" s="118" t="n">
        <x:v>2</x:v>
      </x:c>
      <x:c r="B6" s="118" t="str">
        <x:v>Concrete</x:v>
      </x:c>
      <x:c r="C6" s="118" t="str">
        <x:v>concrete slab calculator</x:v>
      </x:c>
      <x:c r="D6" s="118" t="str">
        <x:v>Slab yards + bag count + waste + quote worksheet</x:v>
      </x:c>
      <x:c r="E6" s="120" t="n">
        <x:v>49500</x:v>
      </x:c>
      <x:c r="F6" s="127"/>
      <x:c r="G6" s="118" t="str">
        <x:v>Google Ads competition: Low (NOT SEO KD)</x:v>
      </x:c>
      <x:c r="H6" s="124"/>
      <x:c r="I6" s="118" t="str">
        <x:v>https://marketkeep.com/seo-keywords-for-concrete-contractors/</x:v>
      </x:c>
      <x:c r="J6" s="118" t="n">
        <x:v>4</x:v>
      </x:c>
      <x:c r="K6" s="118" t="str">
        <x:v>SERP includes ready-mix suppliers and simple calculators, not only giant publishers. Stronger opening than the head term.</x:v>
      </x:c>
      <x:c r="L6" s="118" t="n">
        <x:v>5</x:v>
      </x:c>
      <x:c r="M6" s="118" t="n">
        <x:v>5</x:v>
      </x:c>
      <x:c r="N6" s="118" t="n">
        <x:v>5</x:v>
      </x:c>
      <x:c r="O6" s="118" t="n">
        <x:v>5</x:v>
      </x:c>
      <x:c r="P6" s="118" t="n">
        <x:f>ROUND(MIN(E6,50000)/50000*20+IF(ISNUMBER(F6),(60-MIN(F6,60))/60*15,7.5)+J6*4+L6*2+M6*2+N6*2+O6*3,0)</x:f>
        <x:v>88</x:v>
      </x:c>
      <x:c r="Q6" s="118" t="str">
        <x:f>IF(P6&gt;=80,"A — Research/Build",IF(P6&gt;=70,"B — Validate","C — Later"))</x:f>
        <x:v>A — Research/Build</x:v>
      </x:c>
      <x:c r="R6" s="118" t="str">
        <x:v>GREENLIGHT FOR AHREFS CHECK</x:v>
      </x:c>
      <x:c r="S6" s="118" t="str">
        <x:v>https://www.smyrnareadymix.com/calculators/concreteslab.html ; https://sutherlands.com/material-calculators/concrete-slab</x:v>
      </x:c>
      <x:c r="T6" s="126" t="n">
        <x:v>46244</x:v>
      </x:c>
    </x:row>
    <x:row r="7" ht="62" customHeight="1">
      <x:c r="A7" s="113" t="n">
        <x:v>3</x:v>
      </x:c>
      <x:c r="B7" s="113" t="str">
        <x:v>Concrete</x:v>
      </x:c>
      <x:c r="C7" s="113" t="str">
        <x:v>concrete floor calculator</x:v>
      </x:c>
      <x:c r="D7" s="113" t="str">
        <x:v>Floor/slab quantity calculator</x:v>
      </x:c>
      <x:c r="E7" s="119" t="n">
        <x:v>14800</x:v>
      </x:c>
      <x:c r="F7" s="127"/>
      <x:c r="G7" s="113" t="str">
        <x:v>Google Ads competition: Low (NOT SEO KD)</x:v>
      </x:c>
      <x:c r="H7" s="123"/>
      <x:c r="I7" s="113" t="str">
        <x:v>https://marketkeep.com/seo-keywords-for-concrete-contractors/</x:v>
      </x:c>
      <x:c r="J7" s="113" t="n">
        <x:v>3</x:v>
      </x:c>
      <x:c r="K7" s="113" t="str">
        <x:v>Good volume and same simple math engine as slab calculator; likely best treated as same page/variant unless SERP intent proves distinct.</x:v>
      </x:c>
      <x:c r="L7" s="113" t="n">
        <x:v>5</x:v>
      </x:c>
      <x:c r="M7" s="113" t="n">
        <x:v>5</x:v>
      </x:c>
      <x:c r="N7" s="113" t="n">
        <x:v>5</x:v>
      </x:c>
      <x:c r="O7" s="113" t="n">
        <x:v>4</x:v>
      </x:c>
      <x:c r="P7" s="113" t="n">
        <x:f>ROUND(MIN(E7,50000)/50000*20+IF(ISNUMBER(F7),(60-MIN(F7,60))/60*15,7.5)+J7*4+L7*2+M7*2+N7*2+O7*3,0)</x:f>
        <x:v>67</x:v>
      </x:c>
      <x:c r="Q7" s="113" t="str">
        <x:f>IF(P7&gt;=80,"A — Research/Build",IF(P7&gt;=70,"B — Validate","C — Later"))</x:f>
        <x:v>C — Later</x:v>
      </x:c>
      <x:c r="R7" s="113" t="str">
        <x:v>VALIDATE INTENT OVERLAP</x:v>
      </x:c>
      <x:c r="S7" s="113" t="str">
        <x:v>https://www.concretenetwork.com/concrete/howmuch/calculator.htm</x:v>
      </x:c>
      <x:c r="T7" s="125" t="n">
        <x:v>46244</x:v>
      </x:c>
    </x:row>
    <x:row r="8" ht="62" customHeight="1">
      <x:c r="A8" s="118" t="n">
        <x:v>4</x:v>
      </x:c>
      <x:c r="B8" s="118" t="str">
        <x:v>Concrete</x:v>
      </x:c>
      <x:c r="C8" s="118" t="str">
        <x:v>concrete slab cost calculator</x:v>
      </x:c>
      <x:c r="D8" s="118" t="str">
        <x:v>Concrete quantity + local cost worksheet</x:v>
      </x:c>
      <x:c r="E8" s="120" t="n">
        <x:v>9900</x:v>
      </x:c>
      <x:c r="F8" s="127"/>
      <x:c r="G8" s="118" t="str">
        <x:v>Google Ads competition: Low (NOT SEO KD)</x:v>
      </x:c>
      <x:c r="H8" s="124"/>
      <x:c r="I8" s="118" t="str">
        <x:v>https://marketkeep.com/seo-keywords-for-concrete-contractors/</x:v>
      </x:c>
      <x:c r="J8" s="118" t="n">
        <x:v>3</x:v>
      </x:c>
      <x:c r="K8" s="118" t="str">
        <x:v>Commercially stronger modifier; can collect ZIP, local material price, delivery and contractor quote data.</x:v>
      </x:c>
      <x:c r="L8" s="118" t="n">
        <x:v>4</x:v>
      </x:c>
      <x:c r="M8" s="118" t="n">
        <x:v>5</x:v>
      </x:c>
      <x:c r="N8" s="118" t="n">
        <x:v>5</x:v>
      </x:c>
      <x:c r="O8" s="118" t="n">
        <x:v>5</x:v>
      </x:c>
      <x:c r="P8" s="118" t="n">
        <x:f>ROUND(MIN(E8,50000)/50000*20+IF(ISNUMBER(F8),(60-MIN(F8,60))/60*15,7.5)+J8*4+L8*2+M8*2+N8*2+O8*3,0)</x:f>
        <x:v>66</x:v>
      </x:c>
      <x:c r="Q8" s="118" t="str">
        <x:f>IF(P8&gt;=80,"A — Research/Build",IF(P8&gt;=70,"B — Validate","C — Later"))</x:f>
        <x:v>C — Later</x:v>
      </x:c>
      <x:c r="R8" s="118" t="str">
        <x:v>GREENLIGHT FOR AHREFS CHECK</x:v>
      </x:c>
      <x:c r="S8" s="118" t="str">
        <x:v>https://www.concretenetwork.com/concrete/howmuch/calculator.htm</x:v>
      </x:c>
      <x:c r="T8" s="126" t="n">
        <x:v>46244</x:v>
      </x:c>
    </x:row>
    <x:row r="9" ht="62" customHeight="1">
      <x:c r="A9" s="113" t="n">
        <x:v>5</x:v>
      </x:c>
      <x:c r="B9" s="113" t="str">
        <x:v>Gravel</x:v>
      </x:c>
      <x:c r="C9" s="113" t="str">
        <x:v>gravel calculator</x:v>
      </x:c>
      <x:c r="D9" s="113" t="str">
        <x:v>Gravel yards/tons + cost calculator</x:v>
      </x:c>
      <x:c r="E9" s="119" t="n">
        <x:v>49500</x:v>
      </x:c>
      <x:c r="F9" s="127"/>
      <x:c r="G9" s="113" t="str">
        <x:v>Google Ads API ad competition: 0 (NOT SEO KD)</x:v>
      </x:c>
      <x:c r="H9" s="123" t="n">
        <x:v>3.44</x:v>
      </x:c>
      <x:c r="I9" s="113" t="str">
        <x:v>https://www.seodata.dev/keyword/gravel-calculator</x:v>
      </x:c>
      <x:c r="J9" s="113" t="n">
        <x:v>3</x:v>
      </x:c>
      <x:c r="K9" s="113" t="str">
        <x:v>Strong head demand, but Calculator.net, InchCalculator and Omni are established. Exact-match niche site also appears, so cluster is viable but head term is not the easiest entry.</x:v>
      </x:c>
      <x:c r="L9" s="113" t="n">
        <x:v>5</x:v>
      </x:c>
      <x:c r="M9" s="113" t="n">
        <x:v>5</x:v>
      </x:c>
      <x:c r="N9" s="113" t="n">
        <x:v>5</x:v>
      </x:c>
      <x:c r="O9" s="113" t="n">
        <x:v>5</x:v>
      </x:c>
      <x:c r="P9" s="113" t="n">
        <x:f>ROUND(MIN(E9,50000)/50000*20+IF(ISNUMBER(F9),(60-MIN(F9,60))/60*15,7.5)+J9*4+L9*2+M9*2+N9*2+O9*3,0)</x:f>
        <x:v>84</x:v>
      </x:c>
      <x:c r="Q9" s="113" t="str">
        <x:f>IF(P9&gt;=80,"A — Research/Build",IF(P9&gt;=70,"B — Validate","C — Later"))</x:f>
        <x:v>A — Research/Build</x:v>
      </x:c>
      <x:c r="R9" s="113" t="str">
        <x:v>BUILD AS HUB AFTER LONG-TAIL ENTRY</x:v>
      </x:c>
      <x:c r="S9" s="113" t="str">
        <x:v>https://www.calculator.net/gravel-calculator.html ; https://www.inchcalculator.com/gravel-calculator/ ; https://gravelcalculator.site/</x:v>
      </x:c>
      <x:c r="T9" s="125" t="n">
        <x:v>46244</x:v>
      </x:c>
    </x:row>
    <x:row r="10" ht="62" customHeight="1">
      <x:c r="A10" s="118" t="n">
        <x:v>6</x:v>
      </x:c>
      <x:c r="B10" s="118" t="str">
        <x:v>Gravel</x:v>
      </x:c>
      <x:c r="C10" s="118" t="str">
        <x:v>driveway gravel calculator</x:v>
      </x:c>
      <x:c r="D10" s="118" t="str">
        <x:v>Two-layer driveway gravel + tons + cost calculator</x:v>
      </x:c>
      <x:c r="E10" s="120" t="n">
        <x:v>2900</x:v>
      </x:c>
      <x:c r="F10" s="127"/>
      <x:c r="G10" s="118" t="str">
        <x:v>Google Ads API ad competition: 0.02 (NOT SEO KD)</x:v>
      </x:c>
      <x:c r="H10" s="124" t="n">
        <x:v>2.58</x:v>
      </x:c>
      <x:c r="I10" s="118" t="str">
        <x:v>https://www.seodata.dev/keyword/driveway-gravel-calculator</x:v>
      </x:c>
      <x:c r="J10" s="118" t="n">
        <x:v>5</x:v>
      </x:c>
      <x:c r="K10" s="118" t="str">
        <x:v>Excellent weak-SERP signal: new/specialist calculator page, a local landscape supplier calculator crawled ~2 weeks ago, and a 2026 tool page all surface.</x:v>
      </x:c>
      <x:c r="L10" s="118" t="n">
        <x:v>5</x:v>
      </x:c>
      <x:c r="M10" s="118" t="n">
        <x:v>5</x:v>
      </x:c>
      <x:c r="N10" s="118" t="n">
        <x:v>5</x:v>
      </x:c>
      <x:c r="O10" s="118" t="n">
        <x:v>5</x:v>
      </x:c>
      <x:c r="P10" s="118" t="n">
        <x:f>ROUND(MIN(E10,50000)/50000*20+IF(ISNUMBER(F10),(60-MIN(F10,60))/60*15,7.5)+J10*4+L10*2+M10*2+N10*2+O10*3,0)</x:f>
        <x:v>74</x:v>
      </x:c>
      <x:c r="Q10" s="118" t="str">
        <x:f>IF(P10&gt;=80,"A — Research/Build",IF(P10&gt;=70,"B — Validate","C — Later"))</x:f>
        <x:v>B — Validate</x:v>
      </x:c>
      <x:c r="R10" s="118" t="str">
        <x:v>TOP CALCULATOR TEST</x:v>
      </x:c>
      <x:c r="S10" s="118" t="str">
        <x:v>https://www.concretecalculatormax.com/calculators/gravel/gravel-driveway-calculator ; https://easternlm.com/calculator/driveway ; https://www.eano.com/tools-templates/driveway-gravel-calculator</x:v>
      </x:c>
      <x:c r="T10" s="126" t="n">
        <x:v>46244</x:v>
      </x:c>
    </x:row>
    <x:row r="11" ht="62" customHeight="1">
      <x:c r="A11" s="113" t="n">
        <x:v>7</x:v>
      </x:c>
      <x:c r="B11" s="113" t="str">
        <x:v>Gravel</x:v>
      </x:c>
      <x:c r="C11" s="113" t="str">
        <x:v>pea gravel calculator</x:v>
      </x:c>
      <x:c r="D11" s="113" t="str">
        <x:v>Pea gravel quantity + cost calculator</x:v>
      </x:c>
      <x:c r="E11" s="119" t="n">
        <x:v>5400</x:v>
      </x:c>
      <x:c r="F11" s="127"/>
      <x:c r="G11" s="113" t="str">
        <x:v>Google Ads API volume; SEO KD not public</x:v>
      </x:c>
      <x:c r="H11" s="123" t="n">
        <x:v>4.83</x:v>
      </x:c>
      <x:c r="I11" s="113" t="str">
        <x:v>https://www.seodata.dev/keyword/gravel-calculator</x:v>
      </x:c>
      <x:c r="J11" s="113" t="n">
        <x:v>3</x:v>
      </x:c>
      <x:c r="K11" s="113" t="str">
        <x:v>Useful long-tail in same engine; public source shows full SERP overlap with gravel calculator, so likely one strong hub can target it.</x:v>
      </x:c>
      <x:c r="L11" s="113" t="n">
        <x:v>5</x:v>
      </x:c>
      <x:c r="M11" s="113" t="n">
        <x:v>5</x:v>
      </x:c>
      <x:c r="N11" s="113" t="n">
        <x:v>4</x:v>
      </x:c>
      <x:c r="O11" s="113" t="n">
        <x:v>4</x:v>
      </x:c>
      <x:c r="P11" s="113" t="n">
        <x:f>ROUND(MIN(E11,50000)/50000*20+IF(ISNUMBER(F11),(60-MIN(F11,60))/60*15,7.5)+J11*4+L11*2+M11*2+N11*2+O11*3,0)</x:f>
        <x:v>62</x:v>
      </x:c>
      <x:c r="Q11" s="113" t="str">
        <x:f>IF(P11&gt;=80,"A — Research/Build",IF(P11&gt;=70,"B — Validate","C — Later"))</x:f>
        <x:v>C — Later</x:v>
      </x:c>
      <x:c r="R11" s="113" t="str">
        <x:v>TARGET INSIDE GRAVEL HUB</x:v>
      </x:c>
      <x:c r="S11" s="113" t="str">
        <x:v>https://www.inchcalculator.com/gravel-calculator/ ; https://www.omnicalculator.com/construction/gravel</x:v>
      </x:c>
      <x:c r="T11" s="125" t="n">
        <x:v>46244</x:v>
      </x:c>
    </x:row>
    <x:row r="12" ht="62" customHeight="1">
      <x:c r="A12" s="118" t="n">
        <x:v>8</x:v>
      </x:c>
      <x:c r="B12" s="118" t="str">
        <x:v>Gravel</x:v>
      </x:c>
      <x:c r="C12" s="118" t="str">
        <x:v>how much gravel do i need</x:v>
      </x:c>
      <x:c r="D12" s="118" t="str">
        <x:v>Conversational gravel estimator</x:v>
      </x:c>
      <x:c r="E12" s="120" t="n">
        <x:v>2900</x:v>
      </x:c>
      <x:c r="F12" s="127"/>
      <x:c r="G12" s="118" t="str">
        <x:v>Google Ads API volume; SEO KD not public</x:v>
      </x:c>
      <x:c r="H12" s="124" t="n">
        <x:v>1.03</x:v>
      </x:c>
      <x:c r="I12" s="118" t="str">
        <x:v>https://www.seodata.dev/keyword/gravel-calculator</x:v>
      </x:c>
      <x:c r="J12" s="118" t="n">
        <x:v>4</x:v>
      </x:c>
      <x:c r="K12" s="118" t="str">
        <x:v>Exactly the natural-language intent we want. Same SERP family as the calculator head term but can be answered with an interactive estimator rather than prose.</x:v>
      </x:c>
      <x:c r="L12" s="118" t="n">
        <x:v>5</x:v>
      </x:c>
      <x:c r="M12" s="118" t="n">
        <x:v>5</x:v>
      </x:c>
      <x:c r="N12" s="118" t="n">
        <x:v>5</x:v>
      </x:c>
      <x:c r="O12" s="118" t="n">
        <x:v>4</x:v>
      </x:c>
      <x:c r="P12" s="118" t="n">
        <x:f>ROUND(MIN(E12,50000)/50000*20+IF(ISNUMBER(F12),(60-MIN(F12,60))/60*15,7.5)+J12*4+L12*2+M12*2+N12*2+O12*3,0)</x:f>
        <x:v>67</x:v>
      </x:c>
      <x:c r="Q12" s="118" t="str">
        <x:f>IF(P12&gt;=80,"A — Research/Build",IF(P12&gt;=70,"B — Validate","C — Later"))</x:f>
        <x:v>C — Later</x:v>
      </x:c>
      <x:c r="R12" s="118" t="str">
        <x:v>AHREFS PRIORITY</x:v>
      </x:c>
      <x:c r="S12" s="118" t="str">
        <x:v>https://www.calculator.net/gravel-calculator.html ; https://www.inchcalculator.com/gravel-calculator/</x:v>
      </x:c>
      <x:c r="T12" s="126" t="n">
        <x:v>46244</x:v>
      </x:c>
    </x:row>
    <x:row r="13" ht="62" customHeight="1">
      <x:c r="A13" s="113" t="n">
        <x:v>9</x:v>
      </x:c>
      <x:c r="B13" s="113" t="str">
        <x:v>Fence</x:v>
      </x:c>
      <x:c r="C13" s="113" t="str">
        <x:v>fence calculator</x:v>
      </x:c>
      <x:c r="D13" s="113" t="str">
        <x:v>Fence length → posts/panels/rails/concrete + cost</x:v>
      </x:c>
      <x:c r="E13" s="119" t="n">
        <x:v>9900</x:v>
      </x:c>
      <x:c r="F13" s="127"/>
      <x:c r="G13" s="113" t="str">
        <x:v>Google Ads API ad competition: 0.13 (NOT SEO KD)</x:v>
      </x:c>
      <x:c r="H13" s="123" t="n">
        <x:v>3.91</x:v>
      </x:c>
      <x:c r="I13" s="113" t="str">
        <x:v>https://www.seodata.dev/keyword/fence-calculator</x:v>
      </x:c>
      <x:c r="J13" s="113" t="n">
        <x:v>3</x:v>
      </x:c>
      <x:c r="K13" s="113" t="str">
        <x:v>Mixed supplier/niche/Omni SERP. Useful evergreen demand, but current tools are already reasonably capable.</x:v>
      </x:c>
      <x:c r="L13" s="113" t="n">
        <x:v>4</x:v>
      </x:c>
      <x:c r="M13" s="113" t="n">
        <x:v>5</x:v>
      </x:c>
      <x:c r="N13" s="113" t="n">
        <x:v>5</x:v>
      </x:c>
      <x:c r="O13" s="113" t="n">
        <x:v>5</x:v>
      </x:c>
      <x:c r="P13" s="113" t="n">
        <x:f>ROUND(MIN(E13,50000)/50000*20+IF(ISNUMBER(F13),(60-MIN(F13,60))/60*15,7.5)+J13*4+L13*2+M13*2+N13*2+O13*3,0)</x:f>
        <x:v>66</x:v>
      </x:c>
      <x:c r="Q13" s="113" t="str">
        <x:f>IF(P13&gt;=80,"A — Research/Build",IF(P13&gt;=70,"B — Validate","C — Later"))</x:f>
        <x:v>C — Later</x:v>
      </x:c>
      <x:c r="R13" s="113" t="str">
        <x:v>BUILD AFTER LONG-TAIL</x:v>
      </x:c>
      <x:c r="S13" s="113" t="str">
        <x:v>https://www.omnicalculator.com/construction/board-on-board-fence ; https://www.hooverfence.com/fence-calculator</x:v>
      </x:c>
      <x:c r="T13" s="125" t="n">
        <x:v>46244</x:v>
      </x:c>
    </x:row>
    <x:row r="14" ht="62" customHeight="1">
      <x:c r="A14" s="118" t="n">
        <x:v>10</x:v>
      </x:c>
      <x:c r="B14" s="118" t="str">
        <x:v>Fence</x:v>
      </x:c>
      <x:c r="C14" s="118" t="str">
        <x:v>fence material calculator</x:v>
      </x:c>
      <x:c r="D14" s="118" t="str">
        <x:v>Fence material takeoff + downloadable shopping/job sheet</x:v>
      </x:c>
      <x:c r="E14" s="120" t="n">
        <x:v>1000</x:v>
      </x:c>
      <x:c r="F14" s="127"/>
      <x:c r="G14" s="118" t="str">
        <x:v>Google Ads API volume; SEO KD not public</x:v>
      </x:c>
      <x:c r="H14" s="124" t="n">
        <x:v>3.9</x:v>
      </x:c>
      <x:c r="I14" s="118" t="str">
        <x:v>https://www.seodata.dev/keyword/fence-calculator</x:v>
      </x:c>
      <x:c r="J14" s="118" t="n">
        <x:v>5</x:v>
      </x:c>
      <x:c r="K14" s="118" t="str">
        <x:v>Very interesting weak-SERP signal: exact-purpose specialist sites surfaced, including pages crawled last week/today rather than only major brands.</x:v>
      </x:c>
      <x:c r="L14" s="118" t="n">
        <x:v>4</x:v>
      </x:c>
      <x:c r="M14" s="118" t="n">
        <x:v>5</x:v>
      </x:c>
      <x:c r="N14" s="118" t="n">
        <x:v>5</x:v>
      </x:c>
      <x:c r="O14" s="118" t="n">
        <x:v>5</x:v>
      </x:c>
      <x:c r="P14" s="118" t="n">
        <x:f>ROUND(MIN(E14,50000)/50000*20+IF(ISNUMBER(F14),(60-MIN(F14,60))/60*15,7.5)+J14*4+L14*2+M14*2+N14*2+O14*3,0)</x:f>
        <x:v>71</x:v>
      </x:c>
      <x:c r="Q14" s="118" t="str">
        <x:f>IF(P14&gt;=80,"A — Research/Build",IF(P14&gt;=70,"B — Validate","C — Later"))</x:f>
        <x:v>B — Validate</x:v>
      </x:c>
      <x:c r="R14" s="118" t="str">
        <x:v>TOP CALCULATOR TEST</x:v>
      </x:c>
      <x:c r="S14" s="118" t="str">
        <x:v>https://thesitemath.com/fencing-calculator/ ; https://www.topfencesupply.com/calculator</x:v>
      </x:c>
      <x:c r="T14" s="126" t="n">
        <x:v>46244</x:v>
      </x:c>
    </x:row>
    <x:row r="15" ht="62" customHeight="1">
      <x:c r="A15" s="113" t="n">
        <x:v>11</x:v>
      </x:c>
      <x:c r="B15" s="113" t="str">
        <x:v>Fence</x:v>
      </x:c>
      <x:c r="C15" s="113" t="str">
        <x:v>wood fence calculator</x:v>
      </x:c>
      <x:c r="D15" s="113" t="str">
        <x:v>Wood fence posts/rails/pickets/concrete estimator</x:v>
      </x:c>
      <x:c r="E15" s="119" t="n">
        <x:v>1300</x:v>
      </x:c>
      <x:c r="F15" s="127"/>
      <x:c r="G15" s="113" t="str">
        <x:v>Google Ads API volume; SEO KD not public</x:v>
      </x:c>
      <x:c r="H15" s="123" t="n">
        <x:v>4.43</x:v>
      </x:c>
      <x:c r="I15" s="113" t="str">
        <x:v>https://www.seodata.dev/keyword/fence-calculator</x:v>
      </x:c>
      <x:c r="J15" s="113" t="n">
        <x:v>4</x:v>
      </x:c>
      <x:c r="K15" s="113" t="str">
        <x:v>Clear material-specific long-tail; can share the same engine while producing a materially better takeoff and packet.</x:v>
      </x:c>
      <x:c r="L15" s="113" t="n">
        <x:v>4</x:v>
      </x:c>
      <x:c r="M15" s="113" t="n">
        <x:v>5</x:v>
      </x:c>
      <x:c r="N15" s="113" t="n">
        <x:v>5</x:v>
      </x:c>
      <x:c r="O15" s="113" t="n">
        <x:v>5</x:v>
      </x:c>
      <x:c r="P15" s="113" t="n">
        <x:f>ROUND(MIN(E15,50000)/50000*20+IF(ISNUMBER(F15),(60-MIN(F15,60))/60*15,7.5)+J15*4+L15*2+M15*2+N15*2+O15*3,0)</x:f>
        <x:v>67</x:v>
      </x:c>
      <x:c r="Q15" s="113" t="str">
        <x:f>IF(P15&gt;=80,"A — Research/Build",IF(P15&gt;=70,"B — Validate","C — Later"))</x:f>
        <x:v>C — Later</x:v>
      </x:c>
      <x:c r="R15" s="113" t="str">
        <x:v>AHREFS PRIORITY</x:v>
      </x:c>
      <x:c r="S15" s="113" t="str">
        <x:v>https://www.inchcalculator.com/fence-calculator/ ; https://www.topfencesupply.com/calculator</x:v>
      </x:c>
      <x:c r="T15" s="125" t="n">
        <x:v>46244</x:v>
      </x:c>
    </x:row>
    <x:row r="16" ht="62" customHeight="1">
      <x:c r="A16" s="118" t="n">
        <x:v>12</x:v>
      </x:c>
      <x:c r="B16" s="118" t="str">
        <x:v>Flooring</x:v>
      </x:c>
      <x:c r="C16" s="118" t="str">
        <x:v>flooring calculator</x:v>
      </x:c>
      <x:c r="D16" s="118" t="str">
        <x:v>Floor area + waste + boxes + quote comparison worksheet</x:v>
      </x:c>
      <x:c r="E16" s="120" t="n">
        <x:v>3600</x:v>
      </x:c>
      <x:c r="F16" s="127"/>
      <x:c r="G16" s="118" t="str">
        <x:v>Semrush public domain-keyword estimate; SEO KD not exposed</x:v>
      </x:c>
      <x:c r="H16" s="124" t="n">
        <x:v>1.05</x:v>
      </x:c>
      <x:c r="I16" s="118" t="str">
        <x:v>https://www.semrush.com/</x:v>
      </x:c>
      <x:c r="J16" s="118" t="n">
        <x:v>3</x:v>
      </x:c>
      <x:c r="K16" s="118" t="str">
        <x:v>Established brands are present, but new niche calculators are also surfacing in 2026. Value can be improved by pairing material math with quote-per-sq-ft comparison.</x:v>
      </x:c>
      <x:c r="L16" s="118" t="n">
        <x:v>4</x:v>
      </x:c>
      <x:c r="M16" s="118" t="n">
        <x:v>5</x:v>
      </x:c>
      <x:c r="N16" s="118" t="n">
        <x:v>5</x:v>
      </x:c>
      <x:c r="O16" s="118" t="n">
        <x:v>5</x:v>
      </x:c>
      <x:c r="P16" s="118" t="n">
        <x:f>ROUND(MIN(E16,50000)/50000*20+IF(ISNUMBER(F16),(60-MIN(F16,60))/60*15,7.5)+J16*4+L16*2+M16*2+N16*2+O16*3,0)</x:f>
        <x:v>64</x:v>
      </x:c>
      <x:c r="Q16" s="118" t="str">
        <x:f>IF(P16&gt;=80,"A — Research/Build",IF(P16&gt;=70,"B — Validate","C — Later"))</x:f>
        <x:v>C — Later</x:v>
      </x:c>
      <x:c r="R16" s="118" t="str">
        <x:v>VALIDATE BEFORE BUILD</x:v>
      </x:c>
      <x:c r="S16" s="118" t="str">
        <x:v>https://intelcalculator.com/construction/flooring-calculator/ ; https://www.measuresquare.com/flooring-calculator/ ; https://www.lowes.com/n/calculators/vinyl-flooring-calculator</x:v>
      </x:c>
      <x:c r="T16" s="126" t="n">
        <x:v>46244</x:v>
      </x:c>
    </x:row>
    <x:row r="17" ht="62" customHeight="1">
      <x:c r="A17" s="113" t="n">
        <x:v>13</x:v>
      </x:c>
      <x:c r="B17" s="113" t="str">
        <x:v>Flooring</x:v>
      </x:c>
      <x:c r="C17" s="113" t="str">
        <x:v>carpet calculator</x:v>
      </x:c>
      <x:c r="D17" s="113" t="str">
        <x:v>Carpet area + waste + roll/box + labor worksheet</x:v>
      </x:c>
      <x:c r="E17" s="119" t="n">
        <x:v>3600</x:v>
      </x:c>
      <x:c r="F17" s="127"/>
      <x:c r="G17" s="113" t="str">
        <x:v>Semrush public estimate; SEO KD not exposed</x:v>
      </x:c>
      <x:c r="H17" s="123" t="n">
        <x:v>1.82</x:v>
      </x:c>
      <x:c r="I17" s="113" t="str">
        <x:v>https://www.semrush.com/</x:v>
      </x:c>
      <x:c r="J17" s="113" t="n">
        <x:v>3</x:v>
      </x:c>
      <x:c r="K17" s="113" t="str">
        <x:v>Same project-calculator cluster; less directly differentiated unless we add room layout/seam and quote comparison value.</x:v>
      </x:c>
      <x:c r="L17" s="113" t="n">
        <x:v>4</x:v>
      </x:c>
      <x:c r="M17" s="113" t="n">
        <x:v>5</x:v>
      </x:c>
      <x:c r="N17" s="113" t="n">
        <x:v>4</x:v>
      </x:c>
      <x:c r="O17" s="113" t="n">
        <x:v>4</x:v>
      </x:c>
      <x:c r="P17" s="113" t="n">
        <x:f>ROUND(MIN(E17,50000)/50000*20+IF(ISNUMBER(F17),(60-MIN(F17,60))/60*15,7.5)+J17*4+L17*2+M17*2+N17*2+O17*3,0)</x:f>
        <x:v>59</x:v>
      </x:c>
      <x:c r="Q17" s="113" t="str">
        <x:f>IF(P17&gt;=80,"A — Research/Build",IF(P17&gt;=70,"B — Validate","C — Later"))</x:f>
        <x:v>C — Later</x:v>
      </x:c>
      <x:c r="R17" s="113" t="str">
        <x:v>VALIDATE</x:v>
      </x:c>
      <x:c r="S17" s="113" t="str">
        <x:v>https://www.measuresquare.com/</x:v>
      </x:c>
      <x:c r="T17" s="125" t="n">
        <x:v>46244</x:v>
      </x:c>
    </x:row>
    <x:row r="18" ht="62" customHeight="1">
      <x:c r="A18" s="118" t="n">
        <x:v>14</x:v>
      </x:c>
      <x:c r="B18" s="118" t="str">
        <x:v>Paint</x:v>
      </x:c>
      <x:c r="C18" s="118" t="str">
        <x:v>paint calculator</x:v>
      </x:c>
      <x:c r="D18" s="118" t="str">
        <x:v>Wall area + coats + gallons + local quote worksheet</x:v>
      </x:c>
      <x:c r="E18" s="120" t="n">
        <x:v>18100</x:v>
      </x:c>
      <x:c r="F18" s="127"/>
      <x:c r="G18" s="118" t="str">
        <x:v>Semrush public volume; SEO KD not exposed</x:v>
      </x:c>
      <x:c r="H18" s="124" t="n">
        <x:v>0.42</x:v>
      </x:c>
      <x:c r="I18" s="118" t="str">
        <x:v>https://www.semrush.com/website/glidden.com/overview/</x:v>
      </x:c>
      <x:c r="J18" s="118" t="n">
        <x:v>1</x:v>
      </x:c>
      <x:c r="K18" s="118" t="str">
        <x:v>Brand-heavy live SERP (Behr, Sherwin-Williams, Lowe's, Benjamin Moore). Large volume but poor first test for a new site.</x:v>
      </x:c>
      <x:c r="L18" s="118" t="n">
        <x:v>5</x:v>
      </x:c>
      <x:c r="M18" s="118" t="n">
        <x:v>5</x:v>
      </x:c>
      <x:c r="N18" s="118" t="n">
        <x:v>5</x:v>
      </x:c>
      <x:c r="O18" s="118" t="n">
        <x:v>4</x:v>
      </x:c>
      <x:c r="P18" s="118" t="n">
        <x:f>ROUND(MIN(E18,50000)/50000*20+IF(ISNUMBER(F18),(60-MIN(F18,60))/60*15,7.5)+J18*4+L18*2+M18*2+N18*2+O18*3,0)</x:f>
        <x:v>61</x:v>
      </x:c>
      <x:c r="Q18" s="118" t="str">
        <x:f>IF(P18&gt;=80,"A — Research/Build",IF(P18&gt;=70,"B — Validate","C — Later"))</x:f>
        <x:v>C — Later</x:v>
      </x:c>
      <x:c r="R18" s="118" t="str">
        <x:v>DEPRIORITIZE HEAD TERM</x:v>
      </x:c>
      <x:c r="S18" s="118" t="str">
        <x:v>https://www.behr.com/consumer/paint-and-stain-calculator/ ; https://www.sherwin-williams.com/homeowners/color/try-on-colors/paint-calculator ; https://www.lowes.com/n/calculators/paint-calculator</x:v>
      </x:c>
      <x:c r="T18" s="126" t="n">
        <x:v>46244</x:v>
      </x:c>
    </x:row>
    <x:row r="19" ht="62" customHeight="1">
      <x:c r="A19" s="113" t="n">
        <x:v>15</x:v>
      </x:c>
      <x:c r="B19" s="113" t="str">
        <x:v>Drywall</x:v>
      </x:c>
      <x:c r="C19" s="113" t="str">
        <x:v>drywall calculator</x:v>
      </x:c>
      <x:c r="D19" s="113" t="str">
        <x:v>Sheets + screws + tape + compound + waste</x:v>
      </x:c>
      <x:c r="E19" s="119"/>
      <x:c r="F19" s="127"/>
      <x:c r="G19" s="113" t="str">
        <x:v>Needs exact keyword tool validation</x:v>
      </x:c>
      <x:c r="H19" s="123"/>
      <x:c r="I19" s="113"/>
      <x:c r="J19" s="113" t="n">
        <x:v>4</x:v>
      </x:c>
      <x:c r="K19" s="113" t="str">
        <x:v>Multiple new/simple tool portfolios now publish drywall calculators, which is a weakness signal; public volume/KD still needs a clean pull.</x:v>
      </x:c>
      <x:c r="L19" s="113" t="n">
        <x:v>5</x:v>
      </x:c>
      <x:c r="M19" s="113" t="n">
        <x:v>5</x:v>
      </x:c>
      <x:c r="N19" s="113" t="n">
        <x:v>5</x:v>
      </x:c>
      <x:c r="O19" s="113" t="n">
        <x:v>5</x:v>
      </x:c>
      <x:c r="P19" s="113" t="n">
        <x:f>ROUND(MIN(E19,50000)/50000*20+IF(ISNUMBER(F19),(60-MIN(F19,60))/60*15,7.5)+J19*4+L19*2+M19*2+N19*2+O19*3,0)</x:f>
        <x:v>89</x:v>
      </x:c>
      <x:c r="Q19" s="113" t="str">
        <x:f>IF(P19&gt;=80,"A — Research/Build",IF(P19&gt;=70,"B — Validate","C — Later"))</x:f>
        <x:v>A — Research/Build</x:v>
      </x:c>
      <x:c r="R19" s="113" t="str">
        <x:v>AHREFS PRIORITY</x:v>
      </x:c>
      <x:c r="S19" s="113" t="str">
        <x:v>https://supercalc.dev/calculators/ ; https://miniwebtool.com/alltools/ ; https://simplifycalc.com/</x:v>
      </x:c>
      <x:c r="T19" s="125" t="n">
        <x:v>46244</x:v>
      </x:c>
    </x:row>
    <x:row r="20" ht="62" customHeight="1">
      <x:c r="A20" s="118" t="n">
        <x:v>16</x:v>
      </x:c>
      <x:c r="B20" s="118" t="str">
        <x:v>Tile</x:v>
      </x:c>
      <x:c r="C20" s="118" t="str">
        <x:v>tile calculator</x:v>
      </x:c>
      <x:c r="D20" s="118" t="str">
        <x:v>Tile count + waste + grout + mortar + layout</x:v>
      </x:c>
      <x:c r="E20" s="120"/>
      <x:c r="F20" s="127"/>
      <x:c r="G20" s="118" t="str">
        <x:v>Needs exact keyword tool validation</x:v>
      </x:c>
      <x:c r="H20" s="124"/>
      <x:c r="I20" s="118"/>
      <x:c r="J20" s="118" t="n">
        <x:v>4</x:v>
      </x:c>
      <x:c r="K20" s="118" t="str">
        <x:v>Many niche calculator portfolios target this. High PR adjacency and excellent structured project data, but exact metrics need validation.</x:v>
      </x:c>
      <x:c r="L20" s="118" t="n">
        <x:v>4</x:v>
      </x:c>
      <x:c r="M20" s="118" t="n">
        <x:v>5</x:v>
      </x:c>
      <x:c r="N20" s="118" t="n">
        <x:v>5</x:v>
      </x:c>
      <x:c r="O20" s="118" t="n">
        <x:v>5</x:v>
      </x:c>
      <x:c r="P20" s="118" t="n">
        <x:f>ROUND(MIN(E20,50000)/50000*20+IF(ISNUMBER(F20),(60-MIN(F20,60))/60*15,7.5)+J20*4+L20*2+M20*2+N20*2+O20*3,0)</x:f>
        <x:v>87</x:v>
      </x:c>
      <x:c r="Q20" s="118" t="str">
        <x:f>IF(P20&gt;=80,"A — Research/Build",IF(P20&gt;=70,"B — Validate","C — Later"))</x:f>
        <x:v>A — Research/Build</x:v>
      </x:c>
      <x:c r="R20" s="118" t="str">
        <x:v>AHREFS PRIORITY</x:v>
      </x:c>
      <x:c r="S20" s="118" t="str">
        <x:v>https://intelcalculator.com/construction/flooring-calculator/ ; https://grout-calculator.us/shower/</x:v>
      </x:c>
      <x:c r="T20" s="126" t="n">
        <x:v>46244</x:v>
      </x:c>
    </x:row>
  </x:sheetData>
  <x:mergeCells>
    <x:mergeCell ref="A1:T1"/>
    <x:mergeCell ref="A2:T2"/>
  </x:mergeCells>
  <x:conditionalFormatting sqref="P5:P20">
    <x:cfRule type="colorScale" priority="1">
      <x:colorScale>
        <x:cfvo type="min"/>
        <x:cfvo type="percentile" val="50"/>
        <x:cfvo type="max"/>
        <x:color rgb="FFF4CCCC"/>
        <x:color rgb="FFFFF2CC"/>
        <x:color rgb="FFD9EAD3"/>
      </x:colorScale>
    </x:cfRule>
  </x:conditionalFormatting>
  <x:conditionalFormatting sqref="J5:J20">
    <x:cfRule type="dataBar" priority="2">
      <x:dataBar>
        <x:cfvo type="min"/>
        <x:cfvo type="max"/>
        <x:color rgb="FFA02B93"/>
      </x:dataBar>
      <x:extLst>
        <x:ext xmlns:x14="http://schemas.microsoft.com/office/spreadsheetml/2009/9/main" uri="{B025F937-C7B1-47D3-B67F-A62EFF666E3E}">
          <x14:id>{882359EC-5D3E-1375-64A0-B28EE76B0F57}</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882359EC-5D3E-1375-64A0-B28EE76B0F57}">
            <x14:dataBar gradient="1">
              <x14:cfvo type="min"/>
              <x14:cfvo type="max"/>
              <x14:fillColor rgb="FFA02B93"/>
            </x14:dataBar>
          </x14:cfRule>
          <xm:sqref>J5:J20</xm:sqref>
        </x14:conditionalFormatting>
      </x14:conditionalFormattings>
    </x:ext>
  </x:extLst>
</x:worksheet>
</file>

<file path=xl/worksheets/sheet8.xml><?xml version="1.0" encoding="utf-8"?>
<x:worksheet xmlns:x="http://schemas.openxmlformats.org/spreadsheetml/2006/main">
  <x:sheetFormatPr defaultRowHeight="15"/>
  <x:cols>
    <x:col min="1" max="1" width="9" hidden="0" customWidth="1"/>
    <x:col min="2" max="2" width="13" hidden="0" customWidth="1"/>
    <x:col min="3" max="3" width="26" hidden="0" customWidth="1"/>
    <x:col min="4" max="4" width="12" hidden="0" customWidth="1"/>
    <x:col min="5" max="5" width="9" hidden="0" customWidth="1"/>
    <x:col min="6" max="6" width="10" hidden="0" customWidth="1"/>
    <x:col min="7" max="7" width="36" hidden="0" customWidth="1"/>
    <x:col min="8" max="8" width="31" hidden="0" customWidth="1"/>
    <x:col min="9" max="9" width="10" hidden="0" customWidth="1"/>
    <x:col min="10" max="10" width="48" hidden="0" customWidth="1"/>
    <x:col min="11" max="11" width="11" hidden="0" customWidth="1"/>
    <x:col min="12" max="12" width="10" hidden="0" customWidth="1"/>
    <x:col min="13" max="13" width="12" hidden="0" customWidth="1"/>
    <x:col min="14" max="14" width="15" hidden="0" customWidth="1"/>
    <x:col min="15" max="15" width="10" hidden="0" customWidth="1"/>
    <x:col min="16" max="16" width="13" hidden="0" customWidth="1"/>
    <x:col min="17" max="17" width="18" hidden="0" customWidth="1"/>
    <x:col min="18" max="18" width="48" hidden="0" customWidth="1"/>
    <x:col min="19" max="19" width="32" hidden="0" customWidth="1"/>
    <x:col min="20" max="20" width="52" hidden="0" customWidth="1"/>
    <x:col min="21" max="21" width="12" hidden="0" customWidth="1"/>
  </x:cols>
  <x:sheetData>
    <x:row r="1" ht="28" customHeight="1">
      <x:c r="A1" s="98" t="str">
        <x:v>TRIAL RUN — HOMEOWNER PROBLEM-INTENT KEYWORDS → HIDDEN JOB PACKET</x:v>
      </x:c>
      <x:c r="B1" s="98"/>
      <x:c r="C1" s="98"/>
      <x:c r="D1" s="98"/>
      <x:c r="E1" s="98"/>
      <x:c r="F1" s="98"/>
      <x:c r="G1" s="98"/>
      <x:c r="H1" s="98"/>
      <x:c r="I1" s="98"/>
      <x:c r="J1" s="98"/>
      <x:c r="K1" s="98"/>
      <x:c r="L1" s="98"/>
      <x:c r="M1" s="98"/>
      <x:c r="N1" s="98"/>
      <x:c r="O1" s="98"/>
      <x:c r="P1" s="98"/>
      <x:c r="Q1" s="98"/>
      <x:c r="R1" s="98"/>
      <x:c r="S1" s="98"/>
      <x:c r="T1" s="98"/>
      <x:c r="U1" s="98"/>
    </x:row>
    <x:row r="2" ht="34" customHeight="1">
      <x:c r="A2" s="102" t="str">
        <x:v>This implements the corrected strategy: rank for the problem the homeowner is already typing ('AC not turning on', 'water leaking from ceiling'), NOT for 'job packet' or 'how to explain it.' The packet is the unexpected downstream value. Public keyword numbers are directional until the exact terms are checked in Ahrefs.</x:v>
      </x:c>
      <x:c r="B2" s="102"/>
      <x:c r="C2" s="102"/>
      <x:c r="D2" s="102"/>
      <x:c r="E2" s="102"/>
      <x:c r="F2" s="102"/>
      <x:c r="G2" s="102"/>
      <x:c r="H2" s="102"/>
      <x:c r="I2" s="102"/>
      <x:c r="J2" s="102"/>
      <x:c r="K2" s="102"/>
      <x:c r="L2" s="102"/>
      <x:c r="M2" s="102"/>
      <x:c r="N2" s="102"/>
      <x:c r="O2" s="102"/>
      <x:c r="P2" s="102"/>
      <x:c r="Q2" s="102"/>
      <x:c r="R2" s="102"/>
      <x:c r="S2" s="102"/>
      <x:c r="T2" s="102"/>
      <x:c r="U2" s="102"/>
    </x:row>
    <x:row r="4" ht="34" customHeight="1">
      <x:c r="A4" s="108" t="str">
        <x:v>Research
Priority</x:v>
      </x:c>
      <x:c r="B4" s="108" t="str">
        <x:v>Service Cluster</x:v>
      </x:c>
      <x:c r="C4" s="108" t="str">
        <x:v>Search Term</x:v>
      </x:c>
      <x:c r="D4" s="108" t="str">
        <x:v>Monthly Volume
(public est.)</x:v>
      </x:c>
      <x:c r="E4" s="108" t="str">
        <x:v>SEO KD
(public est.)</x:v>
      </x:c>
      <x:c r="F4" s="108" t="str">
        <x:v>CPC
(public est.)</x:v>
      </x:c>
      <x:c r="G4" s="108" t="str">
        <x:v>Metric Source URL</x:v>
      </x:c>
      <x:c r="H4" s="108" t="str">
        <x:v>Metric Confidence / Caveat</x:v>
      </x:c>
      <x:c r="I4" s="108" t="str">
        <x:v>Live SERP Gap
1–5</x:v>
      </x:c>
      <x:c r="J4" s="108" t="str">
        <x:v>Weak SERP Evidence</x:v>
      </x:c>
      <x:c r="K4" s="108" t="str">
        <x:v>Immediate Need
1–5</x:v>
      </x:c>
      <x:c r="L4" s="108" t="str">
        <x:v>Packet Fit
1–5</x:v>
      </x:c>
      <x:c r="M4" s="108" t="str">
        <x:v>Local Data Value
1–5</x:v>
      </x:c>
      <x:c r="N4" s="108" t="str">
        <x:v>Safety / Build Complexity
1 easy–5 hard</x:v>
      </x:c>
      <x:c r="O4" s="108" t="str">
        <x:v>Evergreen
1–5</x:v>
      </x:c>
      <x:c r="P4" s="108" t="str">
        <x:v>Opportunity Score</x:v>
      </x:c>
      <x:c r="Q4" s="108" t="str">
        <x:v>Tier</x:v>
      </x:c>
      <x:c r="R4" s="108" t="str">
        <x:v>Landing Experience — what they get FIRST</x:v>
      </x:c>
      <x:c r="S4" s="108" t="str">
        <x:v>Hidden Value / Packet CTA</x:v>
      </x:c>
      <x:c r="T4" s="108" t="str">
        <x:v>SERP Example URLs</x:v>
      </x:c>
      <x:c r="U4" s="108" t="str">
        <x:v>Research Date</x:v>
      </x:c>
    </x:row>
    <x:row r="5" ht="62" customHeight="1">
      <x:c r="A5" s="113" t="n">
        <x:v>1</x:v>
      </x:c>
      <x:c r="B5" s="113" t="str">
        <x:v>HVAC</x:v>
      </x:c>
      <x:c r="C5" s="113" t="str">
        <x:v>ac not turning on</x:v>
      </x:c>
      <x:c r="D5" s="119" t="n">
        <x:v>3300</x:v>
      </x:c>
      <x:c r="E5" s="127" t="n">
        <x:v>3</x:v>
      </x:c>
      <x:c r="F5" s="123"/>
      <x:c r="G5" s="113" t="str">
        <x:v>https://seobrothers.com/guides/hvac-seo/</x:v>
      </x:c>
      <x:c r="H5" s="113" t="str">
        <x:v>Public SEO dataset — verify in Ahrefs</x:v>
      </x:c>
      <x:c r="I5" s="113" t="n">
        <x:v>4</x:v>
      </x:c>
      <x:c r="J5" s="113" t="str">
        <x:v>Live SERP mixes Reddit, Carrier/Trane/Bryant and ordinary contractor troubleshooting. Low reported KD makes this one of the clearest first tests.</x:v>
      </x:c>
      <x:c r="K5" s="113" t="n">
        <x:v>5</x:v>
      </x:c>
      <x:c r="L5" s="113" t="n">
        <x:v>5</x:v>
      </x:c>
      <x:c r="M5" s="113" t="n">
        <x:v>5</x:v>
      </x:c>
      <x:c r="N5" s="113" t="n">
        <x:v>3</x:v>
      </x:c>
      <x:c r="O5" s="113" t="n">
        <x:v>5</x:v>
      </x:c>
      <x:c r="P5" s="113" t="n">
        <x:f>ROUND(MIN(D5,15000)/15000*10+IF(ISNUMBER(E5),(60-MIN(E5,60))/60*15,7.5)+I5*5+K5*3+L5*3+M5*2+(6-N5)+O5,0)</x:f>
        <x:v>84</x:v>
      </x:c>
      <x:c r="Q5" s="113" t="str">
        <x:f>IF(P5&gt;=80,"A — Research/Build",IF(P5&gt;=70,"B — Validate","C — Later"))</x:f>
        <x:v>A — Research/Build</x:v>
      </x:c>
      <x:c r="R5" s="113" t="str">
        <x:v>Immediate safe checks + ask 4 branching questions (inside fan? outdoor unit? thermostat? breaker) → likely next trade/urgency.</x:v>
      </x:c>
      <x:c r="S5" s="113" t="str">
        <x:v>Build my HVAC-ready request</x:v>
      </x:c>
      <x:c r="T5" s="113" t="str">
        <x:v>https://www.reddit.com/r/Home/comments/13nejt8/where_to_start_with_ac_not_turning_on_im_posting/ ; https://www.carrier.com/us/en/residential/hvac-resources/air-conditioners/ac-unit-not-turning-on/ ; https://www.trane.com/residential/en/resources/troubleshooting/air-conditioners/ac-not-turning-on/</x:v>
      </x:c>
      <x:c r="U5" s="125" t="n">
        <x:v>46244</x:v>
      </x:c>
    </x:row>
    <x:row r="6" ht="62" customHeight="1">
      <x:c r="A6" s="118" t="n">
        <x:v>2</x:v>
      </x:c>
      <x:c r="B6" s="118" t="str">
        <x:v>HVAC</x:v>
      </x:c>
      <x:c r="C6" s="118" t="str">
        <x:v>ac blowing warm air</x:v>
      </x:c>
      <x:c r="D6" s="120" t="n">
        <x:v>1700</x:v>
      </x:c>
      <x:c r="E6" s="127" t="n">
        <x:v>0</x:v>
      </x:c>
      <x:c r="F6" s="124"/>
      <x:c r="G6" s="118" t="str">
        <x:v>https://seobrothers.com/guides/hvac-seo/</x:v>
      </x:c>
      <x:c r="H6" s="118" t="str">
        <x:v>Public SEO dataset — verify in Ahrefs</x:v>
      </x:c>
      <x:c r="I6" s="118" t="n">
        <x:v>4</x:v>
      </x:c>
      <x:c r="J6" s="118" t="str">
        <x:v>Reported KD is 0. Live results include Carrier, Reddit and a local contractor; head phrase has some car-AC ambiguity, so page must make residential/home HVAC context unmistakable.</x:v>
      </x:c>
      <x:c r="K6" s="118" t="n">
        <x:v>5</x:v>
      </x:c>
      <x:c r="L6" s="118" t="n">
        <x:v>5</x:v>
      </x:c>
      <x:c r="M6" s="118" t="n">
        <x:v>5</x:v>
      </x:c>
      <x:c r="N6" s="118" t="n">
        <x:v>3</x:v>
      </x:c>
      <x:c r="O6" s="118" t="n">
        <x:v>5</x:v>
      </x:c>
      <x:c r="P6" s="118" t="n">
        <x:f>ROUND(MIN(D6,15000)/15000*10+IF(ISNUMBER(E6),(60-MIN(E6,60))/60*15,7.5)+I6*5+K6*3+L6*3+M6*2+(6-N6)+O6,0)</x:f>
        <x:v>84</x:v>
      </x:c>
      <x:c r="Q6" s="118" t="str">
        <x:f>IF(P6&gt;=80,"A — Research/Build",IF(P6&gt;=70,"B — Validate","C — Later"))</x:f>
        <x:v>A — Research/Build</x:v>
      </x:c>
      <x:c r="R6" s="118" t="str">
        <x:v>Thermostat/filter/outdoor unit/ice/airflow branches; fast answer before asking for any contact info.</x:v>
      </x:c>
      <x:c r="S6" s="118" t="str">
        <x:v>Package this for an HVAC tech</x:v>
      </x:c>
      <x:c r="T6" s="118" t="str">
        <x:v>https://www.carrier.com/us/en/residential/hvac-resources/air-conditioners/why-is-my-ac-blowing-hot-air/ ; https://www.reddit.com/r/hvacadvice/comments/1509b6i/hvac_blowing_warm_air/ ; https://downeastheating.com/blog/ac-blowing-warm-air-heres-what-to-do</x:v>
      </x:c>
      <x:c r="U6" s="126" t="n">
        <x:v>46244</x:v>
      </x:c>
    </x:row>
    <x:row r="7" ht="62" customHeight="1">
      <x:c r="A7" s="113" t="n">
        <x:v>3</x:v>
      </x:c>
      <x:c r="B7" s="113" t="str">
        <x:v>HVAC</x:v>
      </x:c>
      <x:c r="C7" s="113" t="str">
        <x:v>why is my ac not cooling</x:v>
      </x:c>
      <x:c r="D7" s="119" t="n">
        <x:v>1300</x:v>
      </x:c>
      <x:c r="E7" s="127" t="n">
        <x:v>1</x:v>
      </x:c>
      <x:c r="F7" s="123"/>
      <x:c r="G7" s="113" t="str">
        <x:v>https://seobrothers.com/guides/hvac-seo/</x:v>
      </x:c>
      <x:c r="H7" s="113" t="str">
        <x:v>Public SEO dataset — verify in Ahrefs</x:v>
      </x:c>
      <x:c r="I7" s="113" t="n">
        <x:v>4</x:v>
      </x:c>
      <x:c r="J7" s="113" t="str">
        <x:v>Very low reported KD and the exact homeowner-language pattern we want. Better differentiated with an interactive decision tree + packet than a long article.</x:v>
      </x:c>
      <x:c r="K7" s="113" t="n">
        <x:v>5</x:v>
      </x:c>
      <x:c r="L7" s="113" t="n">
        <x:v>5</x:v>
      </x:c>
      <x:c r="M7" s="113" t="n">
        <x:v>5</x:v>
      </x:c>
      <x:c r="N7" s="113" t="n">
        <x:v>3</x:v>
      </x:c>
      <x:c r="O7" s="113" t="n">
        <x:v>5</x:v>
      </x:c>
      <x:c r="P7" s="113" t="n">
        <x:f>ROUND(MIN(D7,15000)/15000*10+IF(ISNUMBER(E7),(60-MIN(E7,60))/60*15,7.5)+I7*5+K7*3+L7*3+M7*2+(6-N7)+O7,0)</x:f>
        <x:v>84</x:v>
      </x:c>
      <x:c r="Q7" s="113" t="str">
        <x:f>IF(P7&gt;=80,"A — Research/Build",IF(P7&gt;=70,"B — Validate","C — Later"))</x:f>
        <x:v>A — Research/Build</x:v>
      </x:c>
      <x:c r="R7" s="113" t="str">
        <x:v>Fast triage + likely category + checks + what information the tech will need.</x:v>
      </x:c>
      <x:c r="S7" s="113" t="str">
        <x:v>Build my service-ready AC summary</x:v>
      </x:c>
      <x:c r="T7" s="113" t="str">
        <x:v>https://www.hometips.com/repair-fix/central-air-conditioner.html</x:v>
      </x:c>
      <x:c r="U7" s="125" t="n">
        <x:v>46244</x:v>
      </x:c>
    </x:row>
    <x:row r="8" ht="62" customHeight="1">
      <x:c r="A8" s="118" t="n">
        <x:v>4</x:v>
      </x:c>
      <x:c r="B8" s="118" t="str">
        <x:v>HVAC</x:v>
      </x:c>
      <x:c r="C8" s="118" t="str">
        <x:v>ac freezing up</x:v>
      </x:c>
      <x:c r="D8" s="120" t="n">
        <x:v>2000</x:v>
      </x:c>
      <x:c r="E8" s="127" t="n">
        <x:v>2</x:v>
      </x:c>
      <x:c r="F8" s="124"/>
      <x:c r="G8" s="118" t="str">
        <x:v>https://seobrothers.com/guides/hvac-seo/</x:v>
      </x:c>
      <x:c r="H8" s="118" t="str">
        <x:v>Public SEO dataset — verify in Ahrefs</x:v>
      </x:c>
      <x:c r="I8" s="118" t="n">
        <x:v>4</x:v>
      </x:c>
      <x:c r="J8" s="118" t="str">
        <x:v>SERP includes Reddit, Petro, local HVAC and franchise content rather than an unbeatable single authority. Tool can outperform by telling user what to shut off/check now.</x:v>
      </x:c>
      <x:c r="K8" s="118" t="n">
        <x:v>5</x:v>
      </x:c>
      <x:c r="L8" s="118" t="n">
        <x:v>5</x:v>
      </x:c>
      <x:c r="M8" s="118" t="n">
        <x:v>5</x:v>
      </x:c>
      <x:c r="N8" s="118" t="n">
        <x:v>3</x:v>
      </x:c>
      <x:c r="O8" s="118" t="n">
        <x:v>5</x:v>
      </x:c>
      <x:c r="P8" s="118" t="n">
        <x:f>ROUND(MIN(D8,15000)/15000*10+IF(ISNUMBER(E8),(60-MIN(E8,60))/60*15,7.5)+I8*5+K8*3+L8*3+M8*2+(6-N8)+O8,0)</x:f>
        <x:v>84</x:v>
      </x:c>
      <x:c r="Q8" s="118" t="str">
        <x:f>IF(P8&gt;=80,"A — Research/Build",IF(P8&gt;=70,"B — Validate","C — Later"))</x:f>
        <x:v>A — Research/Build</x:v>
      </x:c>
      <x:c r="R8" s="118" t="str">
        <x:v>What is frozen? airflow/filter/ice location + safe shut-down guidance + next step.</x:v>
      </x:c>
      <x:c r="S8" s="118" t="str">
        <x:v>Create my AC repair packet</x:v>
      </x:c>
      <x:c r="T8" s="118" t="str">
        <x:v>https://www.reddit.com/r/hvacadvice/comments/1db6up4/air_conditioning_system_frozen_over/ ; https://www.petro.com/resource-center/why-ac-freezing-up ; https://www.aireserv.com/about/blog/why-is-my-air-conditioner-frozen-and-how-do-i-fi/</x:v>
      </x:c>
      <x:c r="U8" s="126" t="n">
        <x:v>46244</x:v>
      </x:c>
    </x:row>
    <x:row r="9" ht="62" customHeight="1">
      <x:c r="A9" s="113" t="n">
        <x:v>5</x:v>
      </x:c>
      <x:c r="B9" s="113" t="str">
        <x:v>HVAC</x:v>
      </x:c>
      <x:c r="C9" s="113" t="str">
        <x:v>furnace blowing cold air</x:v>
      </x:c>
      <x:c r="D9" s="119" t="n">
        <x:v>2700</x:v>
      </x:c>
      <x:c r="E9" s="127" t="n">
        <x:v>2</x:v>
      </x:c>
      <x:c r="F9" s="123"/>
      <x:c r="G9" s="113" t="str">
        <x:v>https://seobrothers.com/guides/hvac-seo/</x:v>
      </x:c>
      <x:c r="H9" s="113" t="str">
        <x:v>Public SEO dataset — verify in Ahrefs</x:v>
      </x:c>
      <x:c r="I9" s="113" t="n">
        <x:v>4</x:v>
      </x:c>
      <x:c r="J9" s="113" t="str">
        <x:v>Reddit and local HVAC content surface alongside manufacturer pages. Specific symptom lends itself to a branching tool rather than another generic article.</x:v>
      </x:c>
      <x:c r="K9" s="113" t="n">
        <x:v>5</x:v>
      </x:c>
      <x:c r="L9" s="113" t="n">
        <x:v>5</x:v>
      </x:c>
      <x:c r="M9" s="113" t="n">
        <x:v>5</x:v>
      </x:c>
      <x:c r="N9" s="113" t="n">
        <x:v>3</x:v>
      </x:c>
      <x:c r="O9" s="113" t="n">
        <x:v>5</x:v>
      </x:c>
      <x:c r="P9" s="113" t="n">
        <x:f>ROUND(MIN(D9,15000)/15000*10+IF(ISNUMBER(E9),(60-MIN(E9,60))/60*15,7.5)+I9*5+K9*3+L9*3+M9*2+(6-N9)+O9,0)</x:f>
        <x:v>84</x:v>
      </x:c>
      <x:c r="Q9" s="113" t="str">
        <x:f>IF(P9&gt;=80,"A — Research/Build",IF(P9&gt;=70,"B — Validate","C — Later"))</x:f>
        <x:v>A — Research/Build</x:v>
      </x:c>
      <x:c r="R9" s="113" t="str">
        <x:v>Safe checks → gas/electric type → how long cold air lasts → error/pilot/filter → action level.</x:v>
      </x:c>
      <x:c r="S9" s="113" t="str">
        <x:v>Turn this into a furnace repair request</x:v>
      </x:c>
      <x:c r="T9" s="113" t="str">
        <x:v>https://www.reddit.com/r/hvacadvice/comments/183l0eo/furnace_is_blowing_cold_air/ ; https://www.bryant.com/en/us/products/gas-furnaces/blowing-cold-air/ ; https://mcnallyhvac.com/tips-advice/why-is-my-furnace-blowing-cold-air/</x:v>
      </x:c>
      <x:c r="U9" s="125" t="n">
        <x:v>46244</x:v>
      </x:c>
    </x:row>
    <x:row r="10" ht="62" customHeight="1">
      <x:c r="A10" s="118" t="n">
        <x:v>6</x:v>
      </x:c>
      <x:c r="B10" s="118" t="str">
        <x:v>Plumbing</x:v>
      </x:c>
      <x:c r="C10" s="118" t="str">
        <x:v>water heater leaking from bottom</x:v>
      </x:c>
      <x:c r="D10" s="120" t="n">
        <x:v>8100</x:v>
      </x:c>
      <x:c r="E10" s="127"/>
      <x:c r="F10" s="124" t="n">
        <x:v>15.19</x:v>
      </x:c>
      <x:c r="G10" s="118" t="str">
        <x:v>https://adtargeting.io/industry/plumbing-keywords</x:v>
      </x:c>
      <x:c r="H10" s="118" t="str">
        <x:v>Global volume + paid difficulty only; SEO KD unknown</x:v>
      </x:c>
      <x:c r="I10" s="118" t="n">
        <x:v>5</x:v>
      </x:c>
      <x:c r="J10" s="118" t="str">
        <x:v>Excellent symptom specificity. Live SERP sampling showed Reddit and multiple local contractor pages published within the last year, a strong weak-SERP signal.</x:v>
      </x:c>
      <x:c r="K10" s="118" t="n">
        <x:v>5</x:v>
      </x:c>
      <x:c r="L10" s="118" t="n">
        <x:v>5</x:v>
      </x:c>
      <x:c r="M10" s="118" t="n">
        <x:v>5</x:v>
      </x:c>
      <x:c r="N10" s="118" t="n">
        <x:v>3</x:v>
      </x:c>
      <x:c r="O10" s="118" t="n">
        <x:v>5</x:v>
      </x:c>
      <x:c r="P10" s="118" t="n">
        <x:f>ROUND(MIN(D10,15000)/15000*10+IF(ISNUMBER(E10),(60-MIN(E10,60))/60*15,7.5)+I10*5+K10*3+L10*3+M10*2+(6-N10)+O10,0)</x:f>
        <x:v>86</x:v>
      </x:c>
      <x:c r="Q10" s="118" t="str">
        <x:f>IF(P10&gt;=80,"A — Research/Build",IF(P10&gt;=70,"B — Validate","C — Later"))</x:f>
        <x:v>A — Research/Build</x:v>
      </x:c>
      <x:c r="R10" s="118" t="str">
        <x:v>Bottom leak source selector + puddle/active flow + heater age/type + safe next action.</x:v>
      </x:c>
      <x:c r="S10" s="118" t="str">
        <x:v>Create a plumber-ready leak packet</x:v>
      </x:c>
      <x:c r="T10" s="118" t="str">
        <x:v>https://www.reddit.com/ ; https://www.qualityplumbing.cc/ ; https://www.aaronservices.com/</x:v>
      </x:c>
      <x:c r="U10" s="126" t="n">
        <x:v>46244</x:v>
      </x:c>
    </x:row>
    <x:row r="11" ht="62" customHeight="1">
      <x:c r="A11" s="113" t="n">
        <x:v>7</x:v>
      </x:c>
      <x:c r="B11" s="113" t="str">
        <x:v>Water / Roof</x:v>
      </x:c>
      <x:c r="C11" s="113" t="str">
        <x:v>water leaking from ceiling</x:v>
      </x:c>
      <x:c r="D11" s="119"/>
      <x:c r="E11" s="127"/>
      <x:c r="F11" s="123"/>
      <x:c r="G11" s="113"/>
      <x:c r="H11" s="113" t="str">
        <x:v>Exact metrics not found publicly — SERP inspected live</x:v>
      </x:c>
      <x:c r="I11" s="113" t="n">
        <x:v>5</x:v>
      </x:c>
      <x:c r="J11" s="113" t="str">
        <x:v>One of the strongest SERP gaps found: Reddit plus small/local roofing/home-service pages rank for a very high-stakes homeowner symptom. Exact volume/KD is now an Ahrefs priority.</x:v>
      </x:c>
      <x:c r="K11" s="113" t="n">
        <x:v>5</x:v>
      </x:c>
      <x:c r="L11" s="113" t="n">
        <x:v>5</x:v>
      </x:c>
      <x:c r="M11" s="113" t="n">
        <x:v>5</x:v>
      </x:c>
      <x:c r="N11" s="113" t="n">
        <x:v>3</x:v>
      </x:c>
      <x:c r="O11" s="113" t="n">
        <x:v>5</x:v>
      </x:c>
      <x:c r="P11" s="113" t="n">
        <x:f>ROUND(MIN(D11,15000)/15000*10+IF(ISNUMBER(E11),(60-MIN(E11,60))/60*15,7.5)+I11*5+K11*3+L11*3+M11*2+(6-N11)+O11,0)</x:f>
        <x:v>91</x:v>
      </x:c>
      <x:c r="Q11" s="113" t="str">
        <x:f>IF(P11&gt;=80,"A — Research/Build",IF(P11&gt;=70,"B — Validate","C — Later"))</x:f>
        <x:v>A — Research/Build</x:v>
      </x:c>
      <x:c r="R11" s="113" t="str">
        <x:v>Is it raining? room above? active drip/bulge? fixture nearby? roof age? photos → plumber vs roofer vs emergency mitigation.</x:v>
      </x:c>
      <x:c r="S11" s="113" t="str">
        <x:v>Build my leak-response packet</x:v>
      </x:c>
      <x:c r="T11" s="113" t="str">
        <x:v>https://www.reddit.com/r/DIY/comments/17wbpm3/water_leaking_from_ceiling_how_bad_is_it_should_i/ ; https://youngconstructionnorthiowa.com/blog/water-leaking-from-ceiling/ ; https://hudcoroofing.com/water-leaking-from-ceiling-roof-repair-tips/ ; https://www.abchomeandcommercial.com/resources/water-leaking-from-ceiling/</x:v>
      </x:c>
      <x:c r="U11" s="125" t="n">
        <x:v>46244</x:v>
      </x:c>
    </x:row>
    <x:row r="12" ht="62" customHeight="1">
      <x:c r="A12" s="118" t="n">
        <x:v>8</x:v>
      </x:c>
      <x:c r="B12" s="118" t="str">
        <x:v>Garage Door</x:v>
      </x:c>
      <x:c r="C12" s="118" t="str">
        <x:v>garage door won't close</x:v>
      </x:c>
      <x:c r="D12" s="120" t="n">
        <x:v>2400</x:v>
      </x:c>
      <x:c r="E12" s="127"/>
      <x:c r="F12" s="124" t="n">
        <x:v>11.79</x:v>
      </x:c>
      <x:c r="G12" s="118" t="str">
        <x:v>https://dynamicorbitmedia.com/garage-door-keywords/</x:v>
      </x:c>
      <x:c r="H12" s="118" t="str">
        <x:v>Google Keyword Planner-style volume/CPC; SEO KD not provided</x:v>
      </x:c>
      <x:c r="I12" s="118" t="n">
        <x:v>5</x:v>
      </x:c>
      <x:c r="J12" s="118" t="str">
        <x:v>Very good gap signal: Reddit, manufacturer support, a small door-company blog and a fresh local contractor page all surface.</x:v>
      </x:c>
      <x:c r="K12" s="118" t="n">
        <x:v>5</x:v>
      </x:c>
      <x:c r="L12" s="118" t="n">
        <x:v>5</x:v>
      </x:c>
      <x:c r="M12" s="118" t="n">
        <x:v>5</x:v>
      </x:c>
      <x:c r="N12" s="118" t="n">
        <x:v>2</x:v>
      </x:c>
      <x:c r="O12" s="118" t="n">
        <x:v>5</x:v>
      </x:c>
      <x:c r="P12" s="118" t="n">
        <x:f>ROUND(MIN(D12,15000)/15000*10+IF(ISNUMBER(E12),(60-MIN(E12,60))/60*15,7.5)+I12*5+K12*3+L12*3+M12*2+(6-N12)+O12,0)</x:f>
        <x:v>83</x:v>
      </x:c>
      <x:c r="Q12" s="118" t="str">
        <x:f>IF(P12&gt;=80,"A — Research/Build",IF(P12&gt;=70,"B — Validate","C — Later"))</x:f>
        <x:v>A — Research/Build</x:v>
      </x:c>
      <x:c r="R12" s="118" t="str">
        <x:v>Sensors/lights/obstruction/reverses/holds-wall-button/track alignment + safe stop conditions.</x:v>
      </x:c>
      <x:c r="S12" s="118" t="str">
        <x:v>Build my garage-door repair packet</x:v>
      </x:c>
      <x:c r="T12" s="118" t="str">
        <x:v>https://www.reddit.com/r/HomeImprovement/comments/pzyepj/my_garage_door_doesnt_close_by_itself_anymore_is/ ; https://support.chamberlaingroup.com/s/closing-issues ; https://vergedoors.com/blog/my-garage-door-wont-close-why-is-this-happening/ ; https://cunninghamdoor.com/blog/garage-door-not-closing/</x:v>
      </x:c>
      <x:c r="U12" s="126" t="n">
        <x:v>46244</x:v>
      </x:c>
    </x:row>
    <x:row r="13" ht="62" customHeight="1">
      <x:c r="A13" s="113" t="n">
        <x:v>9</x:v>
      </x:c>
      <x:c r="B13" s="113" t="str">
        <x:v>Plumbing</x:v>
      </x:c>
      <x:c r="C13" s="113" t="str">
        <x:v>water heater leaking</x:v>
      </x:c>
      <x:c r="D13" s="119" t="n">
        <x:v>9900</x:v>
      </x:c>
      <x:c r="E13" s="127" t="n">
        <x:v>35</x:v>
      </x:c>
      <x:c r="F13" s="123" t="n">
        <x:v>21.8</x:v>
      </x:c>
      <x:c r="G13" s="113" t="str">
        <x:v>https://www.causalfunnel.com/blog/top-100-plumbing-keywords-to-boost-your-business/</x:v>
      </x:c>
      <x:c r="H13" s="113" t="str">
        <x:v>Public SEO dataset</x:v>
      </x:c>
      <x:c r="I13" s="113" t="n">
        <x:v>4</x:v>
      </x:c>
      <x:c r="J13" s="113" t="str">
        <x:v>Strong volume and high commercial value. Related exact SERPs include Reddit plus fresh local-plumber pages, showing non-national sites can compete.</x:v>
      </x:c>
      <x:c r="K13" s="113" t="n">
        <x:v>5</x:v>
      </x:c>
      <x:c r="L13" s="113" t="n">
        <x:v>5</x:v>
      </x:c>
      <x:c r="M13" s="113" t="n">
        <x:v>5</x:v>
      </x:c>
      <x:c r="N13" s="113" t="n">
        <x:v>3</x:v>
      </x:c>
      <x:c r="O13" s="113" t="n">
        <x:v>5</x:v>
      </x:c>
      <x:c r="P13" s="113" t="n">
        <x:f>ROUND(MIN(D13,15000)/15000*10+IF(ISNUMBER(E13),(60-MIN(E13,60))/60*15,7.5)+I13*5+K13*3+L13*3+M13*2+(6-N13)+O13,0)</x:f>
        <x:v>81</x:v>
      </x:c>
      <x:c r="Q13" s="113" t="str">
        <x:f>IF(P13&gt;=80,"A — Research/Build",IF(P13&gt;=70,"B — Validate","C — Later"))</x:f>
        <x:v>A — Research/Build</x:v>
      </x:c>
      <x:c r="R13" s="113" t="str">
        <x:v>Where is leak (top/bottom/valve/tank) + active flow + age + fuel type + shutoff guidance.</x:v>
      </x:c>
      <x:c r="S13" s="113" t="str">
        <x:v>Build my water-heater repair request</x:v>
      </x:c>
      <x:c r="T13" s="113" t="str">
        <x:v>https://www.reddit.com/ ; https://www.qualityplumbing.cc/ ; https://www.thespruce.com/</x:v>
      </x:c>
      <x:c r="U13" s="125" t="n">
        <x:v>46244</x:v>
      </x:c>
    </x:row>
    <x:row r="14" ht="62" customHeight="1">
      <x:c r="A14" s="118" t="n">
        <x:v>10</x:v>
      </x:c>
      <x:c r="B14" s="118" t="str">
        <x:v>Plumbing</x:v>
      </x:c>
      <x:c r="C14" s="118" t="str">
        <x:v>garbage disposal not working</x:v>
      </x:c>
      <x:c r="D14" s="120" t="n">
        <x:v>6600</x:v>
      </x:c>
      <x:c r="E14" s="127" t="n">
        <x:v>32</x:v>
      </x:c>
      <x:c r="F14" s="124" t="n">
        <x:v>20.5</x:v>
      </x:c>
      <x:c r="G14" s="118" t="str">
        <x:v>https://www.causalfunnel.com/blog/top-100-plumbing-keywords-to-boost-your-business/</x:v>
      </x:c>
      <x:c r="H14" s="118" t="str">
        <x:v>Public SEO dataset</x:v>
      </x:c>
      <x:c r="I14" s="118" t="n">
        <x:v>4</x:v>
      </x:c>
      <x:c r="J14" s="118" t="str">
        <x:v>Roto-Rooter ranks, but Reddit, building-supply and DIY/community pages also surface. Strong immediate utility: humming vs silent vs leaking gives a clean decision tree.</x:v>
      </x:c>
      <x:c r="K14" s="118" t="n">
        <x:v>4</x:v>
      </x:c>
      <x:c r="L14" s="118" t="n">
        <x:v>5</x:v>
      </x:c>
      <x:c r="M14" s="118" t="n">
        <x:v>5</x:v>
      </x:c>
      <x:c r="N14" s="118" t="n">
        <x:v>2</x:v>
      </x:c>
      <x:c r="O14" s="118" t="n">
        <x:v>5</x:v>
      </x:c>
      <x:c r="P14" s="118" t="n">
        <x:f>ROUND(MIN(D14,15000)/15000*10+IF(ISNUMBER(E14),(60-MIN(E14,60))/60*15,7.5)+I14*5+K14*3+L14*3+M14*2+(6-N14)+O14,0)</x:f>
        <x:v>77</x:v>
      </x:c>
      <x:c r="Q14" s="118" t="str">
        <x:f>IF(P14&gt;=80,"A — Research/Build",IF(P14&gt;=70,"B — Validate","C — Later"))</x:f>
        <x:v>B — Validate</x:v>
      </x:c>
      <x:c r="R14" s="118" t="str">
        <x:v>Hums/silent/leaks/drains slowly + reset/button/breaker checks + never-put-hand-in-disposal safety.</x:v>
      </x:c>
      <x:c r="S14" s="118" t="str">
        <x:v>Turn this into a repair request</x:v>
      </x:c>
      <x:c r="T14" s="118" t="str">
        <x:v>https://www.rotorooter.com/blog/garbage-disposal/3-ways-to-fix-a-garbage-disposal/ ; https://www.reddit.com/r/HomeImprovement/comments/1qdj3u/garbage_disposal_not_working/ ; https://www.mccoys.com/diy-center/tips-techniques/garbage-disposal-not-working</x:v>
      </x:c>
      <x:c r="U14" s="126" t="n">
        <x:v>46244</x:v>
      </x:c>
    </x:row>
    <x:row r="15" ht="62" customHeight="1">
      <x:c r="A15" s="113" t="n">
        <x:v>11</x:v>
      </x:c>
      <x:c r="B15" s="113" t="str">
        <x:v>Plumbing</x:v>
      </x:c>
      <x:c r="C15" s="113" t="str">
        <x:v>sump pump not working</x:v>
      </x:c>
      <x:c r="D15" s="119" t="n">
        <x:v>4400</x:v>
      </x:c>
      <x:c r="E15" s="127" t="n">
        <x:v>38</x:v>
      </x:c>
      <x:c r="F15" s="123" t="n">
        <x:v>23.9</x:v>
      </x:c>
      <x:c r="G15" s="113" t="str">
        <x:v>https://www.causalfunnel.com/blog/top-100-plumbing-keywords-to-boost-your-business/</x:v>
      </x:c>
      <x:c r="H15" s="113" t="str">
        <x:v>Public SEO dataset</x:v>
      </x:c>
      <x:c r="I15" s="113" t="n">
        <x:v>4</x:v>
      </x:c>
      <x:c r="J15" s="113" t="str">
        <x:v>High urgency and seasonal spikes. SERPs previously sampled include Reddit/JustAnswer and local service companies — not only national publishers.</x:v>
      </x:c>
      <x:c r="K15" s="113" t="n">
        <x:v>5</x:v>
      </x:c>
      <x:c r="L15" s="113" t="n">
        <x:v>5</x:v>
      </x:c>
      <x:c r="M15" s="113" t="n">
        <x:v>5</x:v>
      </x:c>
      <x:c r="N15" s="113" t="n">
        <x:v>3</x:v>
      </x:c>
      <x:c r="O15" s="113" t="n">
        <x:v>5</x:v>
      </x:c>
      <x:c r="P15" s="113" t="n">
        <x:f>ROUND(MIN(D15,15000)/15000*10+IF(ISNUMBER(E15),(60-MIN(E15,60))/60*15,7.5)+I15*5+K15*3+L15*3+M15*2+(6-N15)+O15,0)</x:f>
        <x:v>76</x:v>
      </x:c>
      <x:c r="Q15" s="113" t="str">
        <x:f>IF(P15&gt;=80,"A — Research/Build",IF(P15&gt;=70,"B — Validate","C — Later"))</x:f>
        <x:v>B — Validate</x:v>
      </x:c>
      <x:c r="R15" s="113" t="str">
        <x:v>Is water rising? power/float/sound/discharge line + backup pump status + immediate damage-control steps.</x:v>
      </x:c>
      <x:c r="S15" s="113" t="str">
        <x:v>Build my sump-pump service packet</x:v>
      </x:c>
      <x:c r="T15" s="113" t="str">
        <x:v>https://www.reddit.com/ ; https://www.justanswer.com/</x:v>
      </x:c>
      <x:c r="U15" s="125" t="n">
        <x:v>46244</x:v>
      </x:c>
    </x:row>
    <x:row r="16" ht="62" customHeight="1">
      <x:c r="A16" s="118" t="n">
        <x:v>12</x:v>
      </x:c>
      <x:c r="B16" s="118" t="str">
        <x:v>Electrical</x:v>
      </x:c>
      <x:c r="C16" s="118" t="str">
        <x:v>circuit breaker keeps tripping</x:v>
      </x:c>
      <x:c r="D16" s="120" t="n">
        <x:v>15600</x:v>
      </x:c>
      <x:c r="E16" s="127" t="n">
        <x:v>50</x:v>
      </x:c>
      <x:c r="F16" s="124"/>
      <x:c r="G16" s="118" t="str">
        <x:v>https://www.causalfunnel.com/blog/125-high-volume-seo-keywords-for-electricians-to-rank-1/</x:v>
      </x:c>
      <x:c r="H16" s="118" t="str">
        <x:v>Public SEO dataset</x:v>
      </x:c>
      <x:c r="I16" s="118" t="n">
        <x:v>5</x:v>
      </x:c>
      <x:c r="J16" s="118" t="str">
        <x:v>KD is not low, but live results surfaced a niche safety/electrical site crawled only months ago plus troubleshooting publishers. This is exactly a 'KD says harder; SERP says inspect manually' candidate.</x:v>
      </x:c>
      <x:c r="K16" s="118" t="n">
        <x:v>5</x:v>
      </x:c>
      <x:c r="L16" s="118" t="n">
        <x:v>5</x:v>
      </x:c>
      <x:c r="M16" s="118" t="n">
        <x:v>5</x:v>
      </x:c>
      <x:c r="N16" s="118" t="n">
        <x:v>4</x:v>
      </x:c>
      <x:c r="O16" s="118" t="n">
        <x:v>5</x:v>
      </x:c>
      <x:c r="P16" s="118" t="n">
        <x:f>ROUND(MIN(D16,15000)/15000*10+IF(ISNUMBER(E16),(60-MIN(E16,60))/60*15,7.5)+I16*5+K16*3+L16*3+M16*2+(6-N16)+O16,0)</x:f>
        <x:v>85</x:v>
      </x:c>
      <x:c r="Q16" s="118" t="str">
        <x:f>IF(P16&gt;=80,"A — Research/Build",IF(P16&gt;=70,"B — Validate","C — Later"))</x:f>
        <x:v>A — Research/Build</x:v>
      </x:c>
      <x:c r="R16" s="118" t="str">
        <x:v>Which breaker? what appliance/load? immediately trips vs after minutes? heat/smell? → safe stop/call thresholds.</x:v>
      </x:c>
      <x:c r="S16" s="118" t="str">
        <x:v>Create my electrician-ready issue summary</x:v>
      </x:c>
      <x:c r="T16" s="118" t="str">
        <x:v>https://safewireguides.com/ ; https://www.hometips.com/repair-fix/circuit-breaker-tripping.html</x:v>
      </x:c>
      <x:c r="U16" s="126" t="n">
        <x:v>46244</x:v>
      </x:c>
    </x:row>
    <x:row r="17" ht="62" customHeight="1">
      <x:c r="A17" s="113" t="n">
        <x:v>13</x:v>
      </x:c>
      <x:c r="B17" s="113" t="str">
        <x:v>HVAC</x:v>
      </x:c>
      <x:c r="C17" s="113" t="str">
        <x:v>furnace not working</x:v>
      </x:c>
      <x:c r="D17" s="119" t="n">
        <x:v>1500</x:v>
      </x:c>
      <x:c r="E17" s="127" t="n">
        <x:v>1</x:v>
      </x:c>
      <x:c r="F17" s="123"/>
      <x:c r="G17" s="113" t="str">
        <x:v>https://seobrothers.com/guides/hvac-seo/</x:v>
      </x:c>
      <x:c r="H17" s="113" t="str">
        <x:v>Public SEO dataset — verify in Ahrefs</x:v>
      </x:c>
      <x:c r="I17" s="113" t="n">
        <x:v>3</x:v>
      </x:c>
      <x:c r="J17" s="113" t="str">
        <x:v>Low reported KD, but broad intent can split across many failure modes. Strong cluster page that should branch into more specific symptom pages.</x:v>
      </x:c>
      <x:c r="K17" s="113" t="n">
        <x:v>5</x:v>
      </x:c>
      <x:c r="L17" s="113" t="n">
        <x:v>5</x:v>
      </x:c>
      <x:c r="M17" s="113" t="n">
        <x:v>5</x:v>
      </x:c>
      <x:c r="N17" s="113" t="n">
        <x:v>3</x:v>
      </x:c>
      <x:c r="O17" s="113" t="n">
        <x:v>5</x:v>
      </x:c>
      <x:c r="P17" s="113" t="n">
        <x:f>ROUND(MIN(D17,15000)/15000*10+IF(ISNUMBER(E17),(60-MIN(E17,60))/60*15,7.5)+I17*5+K17*3+L17*3+M17*2+(6-N17)+O17,0)</x:f>
        <x:v>79</x:v>
      </x:c>
      <x:c r="Q17" s="113" t="str">
        <x:f>IF(P17&gt;=80,"A — Research/Build",IF(P17&gt;=70,"B — Validate","C — Later"))</x:f>
        <x:v>B — Validate</x:v>
      </x:c>
      <x:c r="R17" s="113" t="str">
        <x:v>Heat type + thermostat + fan + ignition + noises/smells + urgency.</x:v>
      </x:c>
      <x:c r="S17" s="113" t="str">
        <x:v>Create my furnace service packet</x:v>
      </x:c>
      <x:c r="T17" s="113" t="str">
        <x:v>https://www.carrier.com/us/en/residential/hvac-resources/furnaces/</x:v>
      </x:c>
      <x:c r="U17" s="125" t="n">
        <x:v>46244</x:v>
      </x:c>
    </x:row>
    <x:row r="18" ht="62" customHeight="1">
      <x:c r="A18" s="118" t="n">
        <x:v>14</x:v>
      </x:c>
      <x:c r="B18" s="118" t="str">
        <x:v>Garage Door</x:v>
      </x:c>
      <x:c r="C18" s="118" t="str">
        <x:v>garage door not closing all the way</x:v>
      </x:c>
      <x:c r="D18" s="120" t="n">
        <x:v>880</x:v>
      </x:c>
      <x:c r="E18" s="127"/>
      <x:c r="F18" s="124" t="n">
        <x:v>10.18</x:v>
      </x:c>
      <x:c r="G18" s="118" t="str">
        <x:v>https://dynamicorbitmedia.com/garage-door-keywords/</x:v>
      </x:c>
      <x:c r="H18" s="118" t="str">
        <x:v>Volume/CPC public; SEO KD not provided</x:v>
      </x:c>
      <x:c r="I18" s="118" t="n">
        <x:v>5</x:v>
      </x:c>
      <x:c r="J18" s="118" t="str">
        <x:v>Lower volume but highly specific, likely lower competition, and naturally branches from the head 'won't close' page.</x:v>
      </x:c>
      <x:c r="K18" s="118" t="n">
        <x:v>5</x:v>
      </x:c>
      <x:c r="L18" s="118" t="n">
        <x:v>5</x:v>
      </x:c>
      <x:c r="M18" s="118" t="n">
        <x:v>5</x:v>
      </x:c>
      <x:c r="N18" s="118" t="n">
        <x:v>2</x:v>
      </x:c>
      <x:c r="O18" s="118" t="n">
        <x:v>5</x:v>
      </x:c>
      <x:c r="P18" s="118" t="n">
        <x:f>ROUND(MIN(D18,15000)/15000*10+IF(ISNUMBER(E18),(60-MIN(E18,60))/60*15,7.5)+I18*5+K18*3+L18*3+M18*2+(6-N18)+O18,0)</x:f>
        <x:v>82</x:v>
      </x:c>
      <x:c r="Q18" s="118" t="str">
        <x:f>IF(P18&gt;=80,"A — Research/Build",IF(P18&gt;=70,"B — Validate","C — Later"))</x:f>
        <x:v>A — Research/Build</x:v>
      </x:c>
      <x:c r="R18" s="118" t="str">
        <x:v>Stops height/reverses/sensors/lights/weather seal/track + photos.</x:v>
      </x:c>
      <x:c r="S18" s="118" t="str">
        <x:v>Package this for repair</x:v>
      </x:c>
      <x:c r="T18" s="118" t="str">
        <x:v>https://www.justanswer.com/home-improvement/67xhn-garage-door-won-t-close-way-goes-part.html</x:v>
      </x:c>
      <x:c r="U18" s="126" t="n">
        <x:v>46244</x:v>
      </x:c>
    </x:row>
    <x:row r="19" ht="62" customHeight="1">
      <x:c r="A19" s="113" t="n">
        <x:v>15</x:v>
      </x:c>
      <x:c r="B19" s="113" t="str">
        <x:v>Garage Door</x:v>
      </x:c>
      <x:c r="C19" s="113" t="str">
        <x:v>garage door off track</x:v>
      </x:c>
      <x:c r="D19" s="119" t="n">
        <x:v>2400</x:v>
      </x:c>
      <x:c r="E19" s="127"/>
      <x:c r="F19" s="123" t="n">
        <x:v>16.48</x:v>
      </x:c>
      <x:c r="G19" s="113" t="str">
        <x:v>https://dynamicorbitmedia.com/garage-door-keywords/</x:v>
      </x:c>
      <x:c r="H19" s="113" t="str">
        <x:v>Volume/CPC public; SEO KD not provided</x:v>
      </x:c>
      <x:c r="I19" s="113" t="n">
        <x:v>4</x:v>
      </x:c>
      <x:c r="J19" s="113" t="str">
        <x:v>High-value failure mode and clear provider handoff. Needs exact top-10 authority check; safety makes a guided 'do not operate' flow useful.</x:v>
      </x:c>
      <x:c r="K19" s="113" t="n">
        <x:v>5</x:v>
      </x:c>
      <x:c r="L19" s="113" t="n">
        <x:v>5</x:v>
      </x:c>
      <x:c r="M19" s="113" t="n">
        <x:v>5</x:v>
      </x:c>
      <x:c r="N19" s="113" t="n">
        <x:v>4</x:v>
      </x:c>
      <x:c r="O19" s="113" t="n">
        <x:v>5</x:v>
      </x:c>
      <x:c r="P19" s="113" t="n">
        <x:f>ROUND(MIN(D19,15000)/15000*10+IF(ISNUMBER(E19),(60-MIN(E19,60))/60*15,7.5)+I19*5+K19*3+L19*3+M19*2+(6-N19)+O19,0)</x:f>
        <x:v>76</x:v>
      </x:c>
      <x:c r="Q19" s="113" t="str">
        <x:f>IF(P19&gt;=80,"A — Research/Build",IF(P19&gt;=70,"B — Validate","C — Later"))</x:f>
        <x:v>B — Validate</x:v>
      </x:c>
      <x:c r="R19" s="113" t="str">
        <x:v>Door position + cable/spring appearance + vehicle impact + one/both rollers off + immediate safety.</x:v>
      </x:c>
      <x:c r="S19" s="113" t="str">
        <x:v>Create my garage-door service packet</x:v>
      </x:c>
      <x:c r="T19" s="113" t="str"/>
      <x:c r="U19" s="125" t="n">
        <x:v>46244</x:v>
      </x:c>
    </x:row>
    <x:row r="20" ht="62" customHeight="1">
      <x:c r="A20" s="118" t="n">
        <x:v>16</x:v>
      </x:c>
      <x:c r="B20" s="118" t="str">
        <x:v>Electrical</x:v>
      </x:c>
      <x:c r="C20" s="118" t="str">
        <x:v>outlet not working</x:v>
      </x:c>
      <x:c r="D20" s="120" t="n">
        <x:v>9400</x:v>
      </x:c>
      <x:c r="E20" s="127" t="n">
        <x:v>48</x:v>
      </x:c>
      <x:c r="F20" s="124"/>
      <x:c r="G20" s="118" t="str">
        <x:v>https://www.causalfunnel.com/blog/125-high-volume-seo-keywords-for-electricians-to-rank-1/</x:v>
      </x:c>
      <x:c r="H20" s="118" t="str">
        <x:v>Volume/KD is proxy from 'outlet not working repair'</x:v>
      </x:c>
      <x:c r="I20" s="118" t="n">
        <x:v>4</x:v>
      </x:c>
      <x:c r="J20" s="118" t="str">
        <x:v>Exact problem SERP sampling surfaced Reddit and local electricians. Need exact Ahrefs metric for the unmodified homeowner phrase.</x:v>
      </x:c>
      <x:c r="K20" s="118" t="n">
        <x:v>4</x:v>
      </x:c>
      <x:c r="L20" s="118" t="n">
        <x:v>5</x:v>
      </x:c>
      <x:c r="M20" s="118" t="n">
        <x:v>5</x:v>
      </x:c>
      <x:c r="N20" s="118" t="n">
        <x:v>3</x:v>
      </x:c>
      <x:c r="O20" s="118" t="n">
        <x:v>5</x:v>
      </x:c>
      <x:c r="P20" s="118" t="n">
        <x:f>ROUND(MIN(D20,15000)/15000*10+IF(ISNUMBER(E20),(60-MIN(E20,60))/60*15,7.5)+I20*5+K20*3+L20*3+M20*2+(6-N20)+O20,0)</x:f>
        <x:v>74</x:v>
      </x:c>
      <x:c r="Q20" s="118" t="str">
        <x:f>IF(P20&gt;=80,"A — Research/Build",IF(P20&gt;=70,"B — Validate","C — Later"))</x:f>
        <x:v>B — Validate</x:v>
      </x:c>
      <x:c r="R20" s="118" t="str">
        <x:v>One outlet vs circuit; GFCI; breaker; recent appliance/event; heat/smell/sparking.</x:v>
      </x:c>
      <x:c r="S20" s="118" t="str">
        <x:v>Prepare this for an electrician</x:v>
      </x:c>
      <x:c r="T20" s="118" t="str">
        <x:v>https://www.reddit.com/ ; https://metroelectricmichigan.com/ ; https://reliableair.com/</x:v>
      </x:c>
      <x:c r="U20" s="126" t="n">
        <x:v>46244</x:v>
      </x:c>
    </x:row>
    <x:row r="21" ht="62" customHeight="1">
      <x:c r="A21" s="113" t="n">
        <x:v>17</x:v>
      </x:c>
      <x:c r="B21" s="113" t="str">
        <x:v>Electrical</x:v>
      </x:c>
      <x:c r="C21" s="113" t="str">
        <x:v>lights flickering in house</x:v>
      </x:c>
      <x:c r="D21" s="119" t="n">
        <x:v>11800</x:v>
      </x:c>
      <x:c r="E21" s="127" t="n">
        <x:v>52</x:v>
      </x:c>
      <x:c r="F21" s="123"/>
      <x:c r="G21" s="113" t="str">
        <x:v>https://www.causalfunnel.com/blog/125-high-volume-seo-keywords-for-electricians-to-rank-1/</x:v>
      </x:c>
      <x:c r="H21" s="113" t="str">
        <x:v>Volume/KD is proxy from 'flickering lights repair'</x:v>
      </x:c>
      <x:c r="I21" s="113" t="n">
        <x:v>4</x:v>
      </x:c>
      <x:c r="J21" s="113" t="str">
        <x:v>Actual symptom phrase is common homeowner language; exact metric requires validation. Strong packet data because one room vs whole house and appliance correlation matter.</x:v>
      </x:c>
      <x:c r="K21" s="113" t="n">
        <x:v>5</x:v>
      </x:c>
      <x:c r="L21" s="113" t="n">
        <x:v>5</x:v>
      </x:c>
      <x:c r="M21" s="113" t="n">
        <x:v>5</x:v>
      </x:c>
      <x:c r="N21" s="113" t="n">
        <x:v>4</x:v>
      </x:c>
      <x:c r="O21" s="113" t="n">
        <x:v>5</x:v>
      </x:c>
      <x:c r="P21" s="113" t="n">
        <x:f>ROUND(MIN(D21,15000)/15000*10+IF(ISNUMBER(E21),(60-MIN(E21,60))/60*15,7.5)+I21*5+K21*3+L21*3+M21*2+(6-N21)+O21,0)</x:f>
        <x:v>77</x:v>
      </x:c>
      <x:c r="Q21" s="113" t="str">
        <x:f>IF(P21&gt;=80,"A — Research/Build",IF(P21&gt;=70,"B — Validate","C — Later"))</x:f>
        <x:v>B — Validate</x:v>
      </x:c>
      <x:c r="R21" s="113" t="str">
        <x:v>One fixture/room/whole house + when it happens + major appliance correlation + smell/heat + outage context.</x:v>
      </x:c>
      <x:c r="S21" s="113" t="str">
        <x:v>Create my electrical issue packet</x:v>
      </x:c>
      <x:c r="T21" s="113" t="str"/>
      <x:c r="U21" s="125" t="n">
        <x:v>46244</x:v>
      </x:c>
    </x:row>
    <x:row r="22" ht="62" customHeight="1">
      <x:c r="A22" s="118" t="n">
        <x:v>18</x:v>
      </x:c>
      <x:c r="B22" s="118" t="str">
        <x:v>HVAC</x:v>
      </x:c>
      <x:c r="C22" s="118" t="str">
        <x:v>furnace short cycling</x:v>
      </x:c>
      <x:c r="D22" s="120" t="n">
        <x:v>1200</x:v>
      </x:c>
      <x:c r="E22" s="127" t="n">
        <x:v>2</x:v>
      </x:c>
      <x:c r="F22" s="124"/>
      <x:c r="G22" s="118" t="str">
        <x:v>https://seobrothers.com/guides/hvac-seo/</x:v>
      </x:c>
      <x:c r="H22" s="118" t="str">
        <x:v>Public SEO dataset — verify in Ahrefs</x:v>
      </x:c>
      <x:c r="I22" s="118" t="n">
        <x:v>3</x:v>
      </x:c>
      <x:c r="J22" s="118" t="str">
        <x:v>Specific repeatable symptom with low reported KD. Needs exact live top-10 authority check before greenlight.</x:v>
      </x:c>
      <x:c r="K22" s="118" t="n">
        <x:v>4</x:v>
      </x:c>
      <x:c r="L22" s="118" t="n">
        <x:v>5</x:v>
      </x:c>
      <x:c r="M22" s="118" t="n">
        <x:v>5</x:v>
      </x:c>
      <x:c r="N22" s="118" t="n">
        <x:v>3</x:v>
      </x:c>
      <x:c r="O22" s="118" t="n">
        <x:v>5</x:v>
      </x:c>
      <x:c r="P22" s="118" t="n">
        <x:f>ROUND(MIN(D22,15000)/15000*10+IF(ISNUMBER(E22),(60-MIN(E22,60))/60*15,7.5)+I22*5+K22*3+L22*3+M22*2+(6-N22)+O22,0)</x:f>
        <x:v>75</x:v>
      </x:c>
      <x:c r="Q22" s="118" t="str">
        <x:f>IF(P22&gt;=80,"A — Research/Build",IF(P22&gt;=70,"B — Validate","C — Later"))</x:f>
        <x:v>B — Validate</x:v>
      </x:c>
      <x:c r="R22" s="118" t="str">
        <x:v>How long cycles last + thermostat/filter/vents + model age + error codes.</x:v>
      </x:c>
      <x:c r="S22" s="118" t="str">
        <x:v>Prepare this for an HVAC visit</x:v>
      </x:c>
      <x:c r="T22" s="118" t="str"/>
      <x:c r="U22" s="126" t="n">
        <x:v>46244</x:v>
      </x:c>
    </x:row>
    <x:row r="23" ht="62" customHeight="1">
      <x:c r="A23" s="113" t="n">
        <x:v>19</x:v>
      </x:c>
      <x:c r="B23" s="113" t="str">
        <x:v>Water / Roof</x:v>
      </x:c>
      <x:c r="C23" s="113" t="str">
        <x:v>water leaking from ceiling after rain</x:v>
      </x:c>
      <x:c r="D23" s="119"/>
      <x:c r="E23" s="127"/>
      <x:c r="F23" s="123"/>
      <x:c r="G23" s="113"/>
      <x:c r="H23" s="113" t="str">
        <x:v>Exact metrics not found publicly — SERP inspected live</x:v>
      </x:c>
      <x:c r="I23" s="113" t="n">
        <x:v>5</x:v>
      </x:c>
      <x:c r="J23" s="113" t="str">
        <x:v>Fresh local roofer pages surface for the exact post-rain symptom. Strong provider-routing value because rain correlation materially changes the likely trade.</x:v>
      </x:c>
      <x:c r="K23" s="113" t="n">
        <x:v>5</x:v>
      </x:c>
      <x:c r="L23" s="113" t="n">
        <x:v>5</x:v>
      </x:c>
      <x:c r="M23" s="113" t="n">
        <x:v>5</x:v>
      </x:c>
      <x:c r="N23" s="113" t="n">
        <x:v>3</x:v>
      </x:c>
      <x:c r="O23" s="113" t="n">
        <x:v>5</x:v>
      </x:c>
      <x:c r="P23" s="113" t="n">
        <x:f>ROUND(MIN(D23,15000)/15000*10+IF(ISNUMBER(E23),(60-MIN(E23,60))/60*15,7.5)+I23*5+K23*3+L23*3+M23*2+(6-N23)+O23,0)</x:f>
        <x:v>91</x:v>
      </x:c>
      <x:c r="Q23" s="113" t="str">
        <x:f>IF(P23&gt;=80,"A — Research/Build",IF(P23&gt;=70,"B — Validate","C — Later"))</x:f>
        <x:v>A — Research/Build</x:v>
      </x:c>
      <x:c r="R23" s="113" t="str">
        <x:v>Rain timing + roof penetration/attic access + ceiling location + storm/wind + photos.</x:v>
      </x:c>
      <x:c r="S23" s="113" t="str">
        <x:v>Create my roofer-ready leak packet</x:v>
      </x:c>
      <x:c r="T23" s="113" t="str">
        <x:v>https://hudcoroofing.com/water-leaking-from-ceiling-roof-repair-tips/ ; https://www.allconroofing.com/stop-water-leaking-from-your-ceiling-with-these-tips/</x:v>
      </x:c>
      <x:c r="U23" s="125" t="n">
        <x:v>46244</x:v>
      </x:c>
    </x:row>
    <x:row r="24" ht="62" customHeight="1">
      <x:c r="A24" s="118" t="n">
        <x:v>20</x:v>
      </x:c>
      <x:c r="B24" s="118" t="str">
        <x:v>Electrical</x:v>
      </x:c>
      <x:c r="C24" s="118" t="str">
        <x:v>electrical burning smell</x:v>
      </x:c>
      <x:c r="D24" s="120" t="n">
        <x:v>6800</x:v>
      </x:c>
      <x:c r="E24" s="127" t="n">
        <x:v>42</x:v>
      </x:c>
      <x:c r="F24" s="124"/>
      <x:c r="G24" s="118" t="str">
        <x:v>https://www.causalfunnel.com/blog/125-high-volume-seo-keywords-for-electricians-to-rank-1/</x:v>
      </x:c>
      <x:c r="H24" s="118" t="str">
        <x:v>Public SEO dataset</x:v>
      </x:c>
      <x:c r="I24" s="118" t="n">
        <x:v>3</x:v>
      </x:c>
      <x:c r="J24" s="118" t="str">
        <x:v>High-intent but safety-sensitive. Valuable commercially, yet content must prioritize immediate hazard guidance rather than conversion.</x:v>
      </x:c>
      <x:c r="K24" s="118" t="n">
        <x:v>5</x:v>
      </x:c>
      <x:c r="L24" s="118" t="n">
        <x:v>5</x:v>
      </x:c>
      <x:c r="M24" s="118" t="n">
        <x:v>5</x:v>
      </x:c>
      <x:c r="N24" s="118" t="n">
        <x:v>5</x:v>
      </x:c>
      <x:c r="O24" s="118" t="n">
        <x:v>5</x:v>
      </x:c>
      <x:c r="P24" s="118" t="n">
        <x:f>ROUND(MIN(D24,15000)/15000*10+IF(ISNUMBER(E24),(60-MIN(E24,60))/60*15,7.5)+I24*5+K24*3+L24*3+M24*2+(6-N24)+O24,0)</x:f>
        <x:v>70</x:v>
      </x:c>
      <x:c r="Q24" s="118" t="str">
        <x:f>IF(P24&gt;=80,"A — Research/Build",IF(P24&gt;=70,"B — Validate","C — Later"))</x:f>
        <x:v>B — Validate</x:v>
      </x:c>
      <x:c r="R24" s="118" t="str">
        <x:v>Immediate safety screen first; no DIY beyond safe power isolation; location/source + smoke/heat + breaker context.</x:v>
      </x:c>
      <x:c r="S24" s="118" t="str">
        <x:v>Package details for emergency electrician</x:v>
      </x:c>
      <x:c r="T24" s="118" t="str"/>
      <x:c r="U24" s="126" t="n">
        <x:v>46244</x:v>
      </x:c>
    </x:row>
  </x:sheetData>
  <x:mergeCells>
    <x:mergeCell ref="A1:U1"/>
    <x:mergeCell ref="A2:U2"/>
  </x:mergeCells>
  <x:conditionalFormatting sqref="P5:P24">
    <x:cfRule type="colorScale" priority="1">
      <x:colorScale>
        <x:cfvo type="min"/>
        <x:cfvo type="percentile" val="50"/>
        <x:cfvo type="max"/>
        <x:color rgb="FFF4CCCC"/>
        <x:color rgb="FFFFF2CC"/>
        <x:color rgb="FFD9EAD3"/>
      </x:colorScale>
    </x:cfRule>
  </x:conditionalFormatting>
  <x:conditionalFormatting sqref="I5:I24">
    <x:cfRule type="dataBar" priority="2">
      <x:dataBar>
        <x:cfvo type="min"/>
        <x:cfvo type="max"/>
        <x:color rgb="FFA02B93"/>
      </x:dataBar>
      <x:extLst>
        <x:ext xmlns:x14="http://schemas.microsoft.com/office/spreadsheetml/2009/9/main" uri="{B025F937-C7B1-47D3-B67F-A62EFF666E3E}">
          <x14:id>{152F6356-906E-1E7E-4AEA-85459F3A3795}</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152F6356-906E-1E7E-4AEA-85459F3A3795}">
            <x14:dataBar gradient="1">
              <x14:cfvo type="min"/>
              <x14:cfvo type="max"/>
              <x14:fillColor rgb="FFA02B93"/>
            </x14:dataBar>
          </x14:cfRule>
          <xm:sqref>I5:I24</xm:sqref>
        </x14:conditionalFormatting>
      </x14:conditionalFormattings>
    </x:ext>
  </x:extLst>
</x:worksheet>
</file>

<file path=xl/worksheets/sheet9.xml><?xml version="1.0" encoding="utf-8"?>
<x:worksheet xmlns:x="http://schemas.openxmlformats.org/spreadsheetml/2006/main">
  <x:sheetFormatPr defaultRowHeight="15"/>
  <x:cols>
    <x:col min="1" max="1" width="9" hidden="0" customWidth="1"/>
    <x:col min="2" max="2" width="12" hidden="0" customWidth="1"/>
    <x:col min="3" max="3" width="29" hidden="0" customWidth="1"/>
    <x:col min="4" max="4" width="12" hidden="0" customWidth="1"/>
    <x:col min="5" max="5" width="11" hidden="0" customWidth="1"/>
    <x:col min="6" max="6" width="44" hidden="0" customWidth="1"/>
    <x:col min="7" max="7" width="48" hidden="0" customWidth="1"/>
    <x:col min="8" max="8" width="52" hidden="0" customWidth="1"/>
    <x:col min="9" max="9" width="12" hidden="0" customWidth="1"/>
  </x:cols>
  <x:sheetData>
    <x:row r="1" ht="28" customHeight="1">
      <x:c r="A1" s="98" t="str">
        <x:v>EXACT AHREFS / SEMRUSH VALIDATION QUEUE</x:v>
      </x:c>
      <x:c r="B1" s="98"/>
      <x:c r="C1" s="98"/>
      <x:c r="D1" s="98"/>
      <x:c r="E1" s="98"/>
      <x:c r="F1" s="98"/>
      <x:c r="G1" s="98"/>
      <x:c r="H1" s="98"/>
      <x:c r="I1" s="98"/>
    </x:row>
    <x:row r="2" ht="34" customHeight="1">
      <x:c r="A2" s="102" t="str">
        <x:v>Use this after the free/public pass. The goal is NOT to obey KD blindly. Pull exact US volume + KD, then inspect the real top 10. A term can still greenlight above KD 10 if the SERP contains multiple weak/new/specialist pages and the tool can answer intent materially better.</x:v>
      </x:c>
      <x:c r="B2" s="102"/>
      <x:c r="C2" s="102"/>
      <x:c r="D2" s="102"/>
      <x:c r="E2" s="102"/>
      <x:c r="F2" s="102"/>
      <x:c r="G2" s="102"/>
      <x:c r="H2" s="102"/>
      <x:c r="I2" s="102"/>
    </x:row>
    <x:row r="4" ht="34" customHeight="1">
      <x:c r="A4" s="108" t="str">
        <x:v>Priority</x:v>
      </x:c>
      <x:c r="B4" s="108" t="str">
        <x:v>Track</x:v>
      </x:c>
      <x:c r="C4" s="108" t="str">
        <x:v>Exact Keyword to Pull</x:v>
      </x:c>
      <x:c r="D4" s="108" t="str">
        <x:v>Public Volume</x:v>
      </x:c>
      <x:c r="E4" s="108" t="str">
        <x:v>Public SEO KD</x:v>
      </x:c>
      <x:c r="F4" s="108" t="str">
        <x:v>Why This Exact Term Matters</x:v>
      </x:c>
      <x:c r="G4" s="108" t="str">
        <x:v>Capture From Ahrefs</x:v>
      </x:c>
      <x:c r="H4" s="108" t="str">
        <x:v>Greenlight Rule</x:v>
      </x:c>
      <x:c r="I4" s="108" t="str">
        <x:v>Research Date</x:v>
      </x:c>
    </x:row>
    <x:row r="5" ht="62" customHeight="1">
      <x:c r="A5" s="113" t="n">
        <x:v>1</x:v>
      </x:c>
      <x:c r="B5" s="113" t="str">
        <x:v>Problem</x:v>
      </x:c>
      <x:c r="C5" s="113" t="str">
        <x:v>ac not turning on</x:v>
      </x:c>
      <x:c r="D5" s="119" t="n">
        <x:v>3300</x:v>
      </x:c>
      <x:c r="E5" s="127" t="n">
        <x:v>3</x:v>
      </x:c>
      <x:c r="F5" s="113" t="str">
        <x:v>Best combination found so far: actual active-home problem + low reported KD + clean packet handoff.</x:v>
      </x:c>
      <x:c r="G5" s="113" t="str">
        <x:v>US volume; KD; parent topic; SERP top 10 DR/UR; referring domains to ranking URL; page age if visible; page type; traffic to ranking URL</x:v>
      </x:c>
      <x:c r="H5" s="113" t="str">
        <x:v>Prefer KD ≤10. ALSO greenlight higher KD if ≥2 top-10 organic results are weak/new/specialist/local AND intent is exact AND our interactive output is materially better.</x:v>
      </x:c>
      <x:c r="I5" s="125" t="n">
        <x:v>46244</x:v>
      </x:c>
    </x:row>
    <x:row r="6" ht="62" customHeight="1">
      <x:c r="A6" s="118" t="n">
        <x:v>2</x:v>
      </x:c>
      <x:c r="B6" s="118" t="str">
        <x:v>Problem</x:v>
      </x:c>
      <x:c r="C6" s="118" t="str">
        <x:v>ac blowing warm air</x:v>
      </x:c>
      <x:c r="D6" s="120" t="n">
        <x:v>1700</x:v>
      </x:c>
      <x:c r="E6" s="127" t="n">
        <x:v>0</x:v>
      </x:c>
      <x:c r="F6" s="118" t="str">
        <x:v>Reported KD 0; verify home-HVAC SERP rather than car-AC ambiguity.</x:v>
      </x:c>
      <x:c r="G6" s="118" t="str">
        <x:v>US volume; KD; parent topic; SERP top 10 DR/UR; referring domains to ranking URL; page age if visible; page type; traffic to ranking URL</x:v>
      </x:c>
      <x:c r="H6" s="118" t="str">
        <x:v>Prefer KD ≤10. ALSO greenlight higher KD if ≥2 top-10 organic results are weak/new/specialist/local AND intent is exact AND our interactive output is materially better.</x:v>
      </x:c>
      <x:c r="I6" s="126" t="n">
        <x:v>46244</x:v>
      </x:c>
    </x:row>
    <x:row r="7" ht="62" customHeight="1">
      <x:c r="A7" s="113" t="n">
        <x:v>3</x:v>
      </x:c>
      <x:c r="B7" s="113" t="str">
        <x:v>Problem</x:v>
      </x:c>
      <x:c r="C7" s="113" t="str">
        <x:v>why is my ac not cooling</x:v>
      </x:c>
      <x:c r="D7" s="119" t="n">
        <x:v>1300</x:v>
      </x:c>
      <x:c r="E7" s="127" t="n">
        <x:v>1</x:v>
      </x:c>
      <x:c r="F7" s="113" t="str">
        <x:v>Natural problem language; direct match to user's intended entry point.</x:v>
      </x:c>
      <x:c r="G7" s="113" t="str">
        <x:v>US volume; KD; parent topic; SERP top 10 DR/UR; referring domains to ranking URL; page age if visible; page type; traffic to ranking URL</x:v>
      </x:c>
      <x:c r="H7" s="113" t="str">
        <x:v>Prefer KD ≤10. ALSO greenlight higher KD if ≥2 top-10 organic results are weak/new/specialist/local AND intent is exact AND our interactive output is materially better.</x:v>
      </x:c>
      <x:c r="I7" s="125" t="n">
        <x:v>46244</x:v>
      </x:c>
    </x:row>
    <x:row r="8" ht="62" customHeight="1">
      <x:c r="A8" s="118" t="n">
        <x:v>4</x:v>
      </x:c>
      <x:c r="B8" s="118" t="str">
        <x:v>Problem</x:v>
      </x:c>
      <x:c r="C8" s="118" t="str">
        <x:v>ac freezing up</x:v>
      </x:c>
      <x:c r="D8" s="120" t="n">
        <x:v>2000</x:v>
      </x:c>
      <x:c r="E8" s="127" t="n">
        <x:v>2</x:v>
      </x:c>
      <x:c r="F8" s="118" t="str">
        <x:v>Specific symptom, urgent, interactive answer can beat a generic article.</x:v>
      </x:c>
      <x:c r="G8" s="118" t="str">
        <x:v>US volume; KD; parent topic; SERP top 10 DR/UR; referring domains to ranking URL; page age if visible; page type; traffic to ranking URL</x:v>
      </x:c>
      <x:c r="H8" s="118" t="str">
        <x:v>Prefer KD ≤10. ALSO greenlight higher KD if ≥2 top-10 organic results are weak/new/specialist/local AND intent is exact AND our interactive output is materially better.</x:v>
      </x:c>
      <x:c r="I8" s="126" t="n">
        <x:v>46244</x:v>
      </x:c>
    </x:row>
    <x:row r="9" ht="62" customHeight="1">
      <x:c r="A9" s="113" t="n">
        <x:v>5</x:v>
      </x:c>
      <x:c r="B9" s="113" t="str">
        <x:v>Problem</x:v>
      </x:c>
      <x:c r="C9" s="113" t="str">
        <x:v>furnace blowing cold air</x:v>
      </x:c>
      <x:c r="D9" s="119" t="n">
        <x:v>2700</x:v>
      </x:c>
      <x:c r="E9" s="127" t="n">
        <x:v>2</x:v>
      </x:c>
      <x:c r="F9" s="113" t="str">
        <x:v>Winter counterpart to the AC cluster; very low reported KD.</x:v>
      </x:c>
      <x:c r="G9" s="113" t="str">
        <x:v>US volume; KD; parent topic; SERP top 10 DR/UR; referring domains to ranking URL; page age if visible; page type; traffic to ranking URL</x:v>
      </x:c>
      <x:c r="H9" s="113" t="str">
        <x:v>Prefer KD ≤10. ALSO greenlight higher KD if ≥2 top-10 organic results are weak/new/specialist/local AND intent is exact AND our interactive output is materially better.</x:v>
      </x:c>
      <x:c r="I9" s="125" t="n">
        <x:v>46244</x:v>
      </x:c>
    </x:row>
    <x:row r="10" ht="62" customHeight="1">
      <x:c r="A10" s="118" t="n">
        <x:v>6</x:v>
      </x:c>
      <x:c r="B10" s="118" t="str">
        <x:v>Problem</x:v>
      </x:c>
      <x:c r="C10" s="118" t="str">
        <x:v>water leaking from ceiling</x:v>
      </x:c>
      <x:c r="D10" s="120"/>
      <x:c r="E10" s="127"/>
      <x:c r="F10" s="118" t="str">
        <x:v>Best live weak-SERP signal found; exact volume/KD is missing.</x:v>
      </x:c>
      <x:c r="G10" s="118" t="str">
        <x:v>US volume; KD; parent topic; SERP top 10 DR/UR; referring domains to ranking URL; page age if visible; page type; traffic to ranking URL</x:v>
      </x:c>
      <x:c r="H10" s="118" t="str">
        <x:v>Prefer KD ≤10. ALSO greenlight higher KD if ≥2 top-10 organic results are weak/new/specialist/local AND intent is exact AND our interactive output is materially better.</x:v>
      </x:c>
      <x:c r="I10" s="126" t="n">
        <x:v>46244</x:v>
      </x:c>
    </x:row>
    <x:row r="11" ht="62" customHeight="1">
      <x:c r="A11" s="113" t="n">
        <x:v>7</x:v>
      </x:c>
      <x:c r="B11" s="113" t="str">
        <x:v>Problem</x:v>
      </x:c>
      <x:c r="C11" s="113" t="str">
        <x:v>water heater leaking from bottom</x:v>
      </x:c>
      <x:c r="D11" s="119" t="n">
        <x:v>8100</x:v>
      </x:c>
      <x:c r="E11" s="127"/>
      <x:c r="F11" s="113" t="str">
        <x:v>High specific volume plus local/Reddit ranking signal; public number is not SEO KD.</x:v>
      </x:c>
      <x:c r="G11" s="113" t="str">
        <x:v>US volume; KD; parent topic; SERP top 10 DR/UR; referring domains to ranking URL; page age if visible; page type; traffic to ranking URL</x:v>
      </x:c>
      <x:c r="H11" s="113" t="str">
        <x:v>Prefer KD ≤10. ALSO greenlight higher KD if ≥2 top-10 organic results are weak/new/specialist/local AND intent is exact AND our interactive output is materially better.</x:v>
      </x:c>
      <x:c r="I11" s="125" t="n">
        <x:v>46244</x:v>
      </x:c>
    </x:row>
    <x:row r="12" ht="62" customHeight="1">
      <x:c r="A12" s="118" t="n">
        <x:v>8</x:v>
      </x:c>
      <x:c r="B12" s="118" t="str">
        <x:v>Problem</x:v>
      </x:c>
      <x:c r="C12" s="118" t="str">
        <x:v>garage door won't close</x:v>
      </x:c>
      <x:c r="D12" s="120" t="n">
        <x:v>2400</x:v>
      </x:c>
      <x:c r="E12" s="127"/>
      <x:c r="F12" s="118" t="str">
        <x:v>Strong live mixed/weak SERP; high downstream job value.</x:v>
      </x:c>
      <x:c r="G12" s="118" t="str">
        <x:v>US volume; KD; parent topic; SERP top 10 DR/UR; referring domains to ranking URL; page age if visible; page type; traffic to ranking URL</x:v>
      </x:c>
      <x:c r="H12" s="118" t="str">
        <x:v>Prefer KD ≤10. ALSO greenlight higher KD if ≥2 top-10 organic results are weak/new/specialist/local AND intent is exact AND our interactive output is materially better.</x:v>
      </x:c>
      <x:c r="I12" s="126" t="n">
        <x:v>46244</x:v>
      </x:c>
    </x:row>
    <x:row r="13" ht="62" customHeight="1">
      <x:c r="A13" s="113" t="n">
        <x:v>9</x:v>
      </x:c>
      <x:c r="B13" s="113" t="str">
        <x:v>Problem</x:v>
      </x:c>
      <x:c r="C13" s="113" t="str">
        <x:v>garbage disposal not working</x:v>
      </x:c>
      <x:c r="D13" s="119" t="n">
        <x:v>6600</x:v>
      </x:c>
      <x:c r="E13" s="127" t="n">
        <x:v>32</x:v>
      </x:c>
      <x:c r="F13" s="113" t="str">
        <x:v>Moderate KD but easy branching tool and mixed SERP.</x:v>
      </x:c>
      <x:c r="G13" s="113" t="str">
        <x:v>US volume; KD; parent topic; SERP top 10 DR/UR; referring domains to ranking URL; page age if visible; page type; traffic to ranking URL</x:v>
      </x:c>
      <x:c r="H13" s="113" t="str">
        <x:v>Prefer KD ≤10. ALSO greenlight higher KD if ≥2 top-10 organic results are weak/new/specialist/local AND intent is exact AND our interactive output is materially better.</x:v>
      </x:c>
      <x:c r="I13" s="125" t="n">
        <x:v>46244</x:v>
      </x:c>
    </x:row>
    <x:row r="14" ht="62" customHeight="1">
      <x:c r="A14" s="118" t="n">
        <x:v>10</x:v>
      </x:c>
      <x:c r="B14" s="118" t="str">
        <x:v>Problem</x:v>
      </x:c>
      <x:c r="C14" s="118" t="str">
        <x:v>sump pump not working</x:v>
      </x:c>
      <x:c r="D14" s="120" t="n">
        <x:v>4400</x:v>
      </x:c>
      <x:c r="E14" s="127" t="n">
        <x:v>38</x:v>
      </x:c>
      <x:c r="F14" s="118" t="str">
        <x:v>Emergency + seasonality + weak-ish SERP; worth manual DR check.</x:v>
      </x:c>
      <x:c r="G14" s="118" t="str">
        <x:v>US volume; KD; parent topic; SERP top 10 DR/UR; referring domains to ranking URL; page age if visible; page type; traffic to ranking URL</x:v>
      </x:c>
      <x:c r="H14" s="118" t="str">
        <x:v>Prefer KD ≤10. ALSO greenlight higher KD if ≥2 top-10 organic results are weak/new/specialist/local AND intent is exact AND our interactive output is materially better.</x:v>
      </x:c>
      <x:c r="I14" s="126" t="n">
        <x:v>46244</x:v>
      </x:c>
    </x:row>
    <x:row r="15" ht="62" customHeight="1">
      <x:c r="A15" s="113" t="n">
        <x:v>11</x:v>
      </x:c>
      <x:c r="B15" s="113" t="str">
        <x:v>Problem</x:v>
      </x:c>
      <x:c r="C15" s="113" t="str">
        <x:v>circuit breaker keeps tripping</x:v>
      </x:c>
      <x:c r="D15" s="119" t="n">
        <x:v>15600</x:v>
      </x:c>
      <x:c r="E15" s="127" t="n">
        <x:v>50</x:v>
      </x:c>
      <x:c r="F15" s="113" t="str">
        <x:v>Test the user's exact strategy: KD looks high, but a newer niche site surfaced in live results.</x:v>
      </x:c>
      <x:c r="G15" s="113" t="str">
        <x:v>US volume; KD; parent topic; SERP top 10 DR/UR; referring domains to ranking URL; page age if visible; page type; traffic to ranking URL</x:v>
      </x:c>
      <x:c r="H15" s="113" t="str">
        <x:v>Prefer KD ≤10. ALSO greenlight higher KD if ≥2 top-10 organic results are weak/new/specialist/local AND intent is exact AND our interactive output is materially better.</x:v>
      </x:c>
      <x:c r="I15" s="125" t="n">
        <x:v>46244</x:v>
      </x:c>
    </x:row>
    <x:row r="16" ht="62" customHeight="1">
      <x:c r="A16" s="118" t="n">
        <x:v>12</x:v>
      </x:c>
      <x:c r="B16" s="118" t="str">
        <x:v>Calculator</x:v>
      </x:c>
      <x:c r="C16" s="118" t="str">
        <x:v>driveway gravel calculator</x:v>
      </x:c>
      <x:c r="D16" s="120" t="n">
        <x:v>2900</x:v>
      </x:c>
      <x:c r="E16" s="127"/>
      <x:c r="F16" s="118" t="str">
        <x:v>Best calculator weak-SERP signal: new niche and local supplier pages surface.</x:v>
      </x:c>
      <x:c r="G16" s="118" t="str">
        <x:v>US volume; KD; parent topic; SERP top 10 DR/UR; referring domains to ranking URL; page age if visible; page type; traffic to ranking URL</x:v>
      </x:c>
      <x:c r="H16" s="118" t="str">
        <x:v>Prefer KD ≤10. ALSO greenlight higher KD if ≥2 top-10 organic results are weak/new/specialist/local AND intent is exact AND our interactive output is materially better.</x:v>
      </x:c>
      <x:c r="I16" s="126" t="n">
        <x:v>46244</x:v>
      </x:c>
    </x:row>
    <x:row r="17" ht="62" customHeight="1">
      <x:c r="A17" s="113" t="n">
        <x:v>13</x:v>
      </x:c>
      <x:c r="B17" s="113" t="str">
        <x:v>Calculator</x:v>
      </x:c>
      <x:c r="C17" s="113" t="str">
        <x:v>fence material calculator</x:v>
      </x:c>
      <x:c r="D17" s="119" t="n">
        <x:v>1000</x:v>
      </x:c>
      <x:c r="E17" s="127"/>
      <x:c r="F17" s="113" t="str">
        <x:v>Exact-purpose specialist pages crawled very recently; likely crack worth measuring.</x:v>
      </x:c>
      <x:c r="G17" s="113" t="str">
        <x:v>US volume; KD; parent topic; SERP top 10 DR/UR; referring domains to ranking URL; page age if visible; page type; traffic to ranking URL</x:v>
      </x:c>
      <x:c r="H17" s="113" t="str">
        <x:v>Prefer KD ≤10. ALSO greenlight higher KD if ≥2 top-10 organic results are weak/new/specialist/local AND intent is exact AND our interactive output is materially better.</x:v>
      </x:c>
      <x:c r="I17" s="125" t="n">
        <x:v>46244</x:v>
      </x:c>
    </x:row>
    <x:row r="18" ht="62" customHeight="1">
      <x:c r="A18" s="118" t="n">
        <x:v>14</x:v>
      </x:c>
      <x:c r="B18" s="118" t="str">
        <x:v>Calculator</x:v>
      </x:c>
      <x:c r="C18" s="118" t="str">
        <x:v>concrete slab calculator</x:v>
      </x:c>
      <x:c r="D18" s="120" t="n">
        <x:v>49500</x:v>
      </x:c>
      <x:c r="E18" s="127"/>
      <x:c r="F18" s="118" t="str">
        <x:v>Large demand and simple supplier calculators can rank.</x:v>
      </x:c>
      <x:c r="G18" s="118" t="str">
        <x:v>US volume; KD; parent topic; SERP top 10 DR/UR; referring domains to ranking URL; page age if visible; page type; traffic to ranking URL</x:v>
      </x:c>
      <x:c r="H18" s="118" t="str">
        <x:v>Prefer KD ≤10. ALSO greenlight higher KD if ≥2 top-10 organic results are weak/new/specialist/local AND intent is exact AND our interactive output is materially better.</x:v>
      </x:c>
      <x:c r="I18" s="126" t="n">
        <x:v>46244</x:v>
      </x:c>
    </x:row>
    <x:row r="19" ht="62" customHeight="1">
      <x:c r="A19" s="113" t="n">
        <x:v>15</x:v>
      </x:c>
      <x:c r="B19" s="113" t="str">
        <x:v>Calculator</x:v>
      </x:c>
      <x:c r="C19" s="113" t="str">
        <x:v>how much gravel do i need</x:v>
      </x:c>
      <x:c r="D19" s="119" t="n">
        <x:v>2900</x:v>
      </x:c>
      <x:c r="E19" s="127"/>
      <x:c r="F19" s="113" t="str">
        <x:v>Natural-language intent with calculator SERP overlap.</x:v>
      </x:c>
      <x:c r="G19" s="113" t="str">
        <x:v>US volume; KD; parent topic; SERP top 10 DR/UR; referring domains to ranking URL; page age if visible; page type; traffic to ranking URL</x:v>
      </x:c>
      <x:c r="H19" s="113" t="str">
        <x:v>Prefer KD ≤10. ALSO greenlight higher KD if ≥2 top-10 organic results are weak/new/specialist/local AND intent is exact AND our interactive output is materially better.</x:v>
      </x:c>
      <x:c r="I19" s="125" t="n">
        <x:v>46244</x:v>
      </x:c>
    </x:row>
    <x:row r="20" ht="62" customHeight="1">
      <x:c r="A20" s="118" t="n">
        <x:v>16</x:v>
      </x:c>
      <x:c r="B20" s="118" t="str">
        <x:v>Calculator</x:v>
      </x:c>
      <x:c r="C20" s="118" t="str">
        <x:v>wood fence calculator</x:v>
      </x:c>
      <x:c r="D20" s="120" t="n">
        <x:v>1300</x:v>
      </x:c>
      <x:c r="E20" s="127"/>
      <x:c r="F20" s="118" t="str">
        <x:v>Smaller material-specific entry into fence cluster.</x:v>
      </x:c>
      <x:c r="G20" s="118" t="str">
        <x:v>US volume; KD; parent topic; SERP top 10 DR/UR; referring domains to ranking URL; page age if visible; page type; traffic to ranking URL</x:v>
      </x:c>
      <x:c r="H20" s="118" t="str">
        <x:v>Prefer KD ≤10. ALSO greenlight higher KD if ≥2 top-10 organic results are weak/new/specialist/local AND intent is exact AND our interactive output is materially better.</x:v>
      </x:c>
      <x:c r="I20" s="126" t="n">
        <x:v>46244</x:v>
      </x:c>
    </x:row>
    <x:row r="21" ht="62" customHeight="1">
      <x:c r="A21" s="113" t="n">
        <x:v>17</x:v>
      </x:c>
      <x:c r="B21" s="113" t="str">
        <x:v>Calculator</x:v>
      </x:c>
      <x:c r="C21" s="113" t="str">
        <x:v>concrete slab cost calculator</x:v>
      </x:c>
      <x:c r="D21" s="119" t="n">
        <x:v>9900</x:v>
      </x:c>
      <x:c r="E21" s="127"/>
      <x:c r="F21" s="113" t="str">
        <x:v>Commercial modifier + strong local-data capture potential.</x:v>
      </x:c>
      <x:c r="G21" s="113" t="str">
        <x:v>US volume; KD; parent topic; SERP top 10 DR/UR; referring domains to ranking URL; page age if visible; page type; traffic to ranking URL</x:v>
      </x:c>
      <x:c r="H21" s="113" t="str">
        <x:v>Prefer KD ≤10. ALSO greenlight higher KD if ≥2 top-10 organic results are weak/new/specialist/local AND intent is exact AND our interactive output is materially better.</x:v>
      </x:c>
      <x:c r="I21" s="125" t="n">
        <x:v>46244</x:v>
      </x:c>
    </x:row>
    <x:row r="22" ht="62" customHeight="1">
      <x:c r="A22" s="118" t="n">
        <x:v>18</x:v>
      </x:c>
      <x:c r="B22" s="118" t="str">
        <x:v>Calculator</x:v>
      </x:c>
      <x:c r="C22" s="118" t="str">
        <x:v>drywall calculator</x:v>
      </x:c>
      <x:c r="D22" s="120"/>
      <x:c r="E22" s="127"/>
      <x:c r="F22" s="118" t="str">
        <x:v>Public metrics missing; numerous new tool portfolios signal possible opening.</x:v>
      </x:c>
      <x:c r="G22" s="118" t="str">
        <x:v>US volume; KD; parent topic; SERP top 10 DR/UR; referring domains to ranking URL; page age if visible; page type; traffic to ranking URL</x:v>
      </x:c>
      <x:c r="H22" s="118" t="str">
        <x:v>Prefer KD ≤10. ALSO greenlight higher KD if ≥2 top-10 organic results are weak/new/specialist/local AND intent is exact AND our interactive output is materially better.</x:v>
      </x:c>
      <x:c r="I22" s="126" t="n">
        <x:v>46244</x:v>
      </x:c>
    </x:row>
    <x:row r="23" ht="62" customHeight="1">
      <x:c r="A23" s="113" t="n">
        <x:v>19</x:v>
      </x:c>
      <x:c r="B23" s="113" t="str">
        <x:v>Calculator</x:v>
      </x:c>
      <x:c r="C23" s="113" t="str">
        <x:v>tile calculator</x:v>
      </x:c>
      <x:c r="D23" s="119"/>
      <x:c r="E23" s="127"/>
      <x:c r="F23" s="113" t="str">
        <x:v>Excellent project-data value; public metrics need clean pull.</x:v>
      </x:c>
      <x:c r="G23" s="113" t="str">
        <x:v>US volume; KD; parent topic; SERP top 10 DR/UR; referring domains to ranking URL; page age if visible; page type; traffic to ranking URL</x:v>
      </x:c>
      <x:c r="H23" s="113" t="str">
        <x:v>Prefer KD ≤10. ALSO greenlight higher KD if ≥2 top-10 organic results are weak/new/specialist/local AND intent is exact AND our interactive output is materially better.</x:v>
      </x:c>
      <x:c r="I23" s="125" t="n">
        <x:v>46244</x:v>
      </x:c>
    </x:row>
    <x:row r="24" ht="62" customHeight="1">
      <x:c r="A24" s="118" t="n">
        <x:v>20</x:v>
      </x:c>
      <x:c r="B24" s="118" t="str">
        <x:v>Calculator</x:v>
      </x:c>
      <x:c r="C24" s="118" t="str">
        <x:v>flooring calculator</x:v>
      </x:c>
      <x:c r="D24" s="120" t="n">
        <x:v>3600</x:v>
      </x:c>
      <x:c r="E24" s="127"/>
      <x:c r="F24" s="118" t="str">
        <x:v>Useful permanent asset, but exact KD/top-10 strength must justify build before paint/flooring brands.</x:v>
      </x:c>
      <x:c r="G24" s="118" t="str">
        <x:v>US volume; KD; parent topic; SERP top 10 DR/UR; referring domains to ranking URL; page age if visible; page type; traffic to ranking URL</x:v>
      </x:c>
      <x:c r="H24" s="118" t="str">
        <x:v>Prefer KD ≤10. ALSO greenlight higher KD if ≥2 top-10 organic results are weak/new/specialist/local AND intent is exact AND our interactive output is materially better.</x:v>
      </x:c>
      <x:c r="I24" s="126" t="n">
        <x:v>46244</x:v>
      </x:c>
    </x:row>
  </x:sheetData>
  <x:mergeCells>
    <x:mergeCell ref="A1:I1"/>
    <x:mergeCell ref="A2:I2"/>
  </x:mergeCells>
  <x:pageMargins left="0.7" right="0.7" top="0.75" bottom="0.75" header="0.3" footer="0.3"/>
</x:worksheet>
</file>